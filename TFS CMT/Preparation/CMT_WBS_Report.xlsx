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FS CMT\Preparation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_FilterDatabase" localSheetId="0" hidden="1">Sheet1!$A$1:$R$59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4" i="1" l="1"/>
  <c r="N59" i="1" l="1"/>
</calcChain>
</file>

<file path=xl/sharedStrings.xml><?xml version="1.0" encoding="utf-8"?>
<sst xmlns="http://schemas.openxmlformats.org/spreadsheetml/2006/main" count="304" uniqueCount="102">
  <si>
    <t>序号
No</t>
    <phoneticPr fontId="1" type="noConversion"/>
  </si>
  <si>
    <t>阶段
Phase</t>
    <phoneticPr fontId="0" type="noConversion"/>
  </si>
  <si>
    <t>工作事项
Item</t>
    <phoneticPr fontId="1" type="noConversion"/>
  </si>
  <si>
    <t>具体内容
Detailed content</t>
    <phoneticPr fontId="1" type="noConversion"/>
  </si>
  <si>
    <t>负责人
Owner</t>
    <phoneticPr fontId="1" type="noConversion"/>
  </si>
  <si>
    <t>参与人
Participants</t>
    <phoneticPr fontId="1" type="noConversion"/>
  </si>
  <si>
    <t>预计开始
日期
Plan Start</t>
    <phoneticPr fontId="1" type="noConversion"/>
  </si>
  <si>
    <t>预计完成
日期
Due day</t>
    <phoneticPr fontId="1" type="noConversion"/>
  </si>
  <si>
    <t>实际完成
日期
Finish data</t>
    <phoneticPr fontId="1" type="noConversion"/>
  </si>
  <si>
    <t>状态
Status</t>
    <phoneticPr fontId="1" type="noConversion"/>
  </si>
  <si>
    <t>涉及部门
Related department</t>
    <phoneticPr fontId="1" type="noConversion"/>
  </si>
  <si>
    <t>涉及人数
Related qty</t>
    <phoneticPr fontId="1" type="noConversion"/>
  </si>
  <si>
    <t>投入说明
Input description</t>
    <phoneticPr fontId="1" type="noConversion"/>
  </si>
  <si>
    <t>投入人天
Input MDs</t>
    <phoneticPr fontId="1" type="noConversion"/>
  </si>
  <si>
    <t>备注 Remark</t>
    <phoneticPr fontId="1" type="noConversion"/>
  </si>
  <si>
    <t>高阶需求调研
High-level demands study</t>
  </si>
  <si>
    <t>项目立项
Project initiation</t>
    <phoneticPr fontId="0" type="noConversion"/>
  </si>
  <si>
    <t>项目启动
Kick-off</t>
  </si>
  <si>
    <t>功能说明书输出
Function specification output</t>
    <phoneticPr fontId="0" type="noConversion"/>
  </si>
  <si>
    <t>功能开发
Function development</t>
  </si>
  <si>
    <t>单元测试-IT
Unit test-IT</t>
    <phoneticPr fontId="0" type="noConversion"/>
  </si>
  <si>
    <t>单元测试-业务
Unit test-Biz</t>
    <phoneticPr fontId="0" type="noConversion"/>
  </si>
  <si>
    <t>集成测试
System integration test</t>
  </si>
  <si>
    <t>用户接受测试
User acceptance test</t>
  </si>
  <si>
    <t>上线准备情况汇报
Go-live Readiness Review</t>
    <phoneticPr fontId="0" type="noConversion"/>
  </si>
  <si>
    <t>上线
Go-live</t>
    <phoneticPr fontId="0" type="noConversion"/>
  </si>
  <si>
    <t>沟通梳理高阶需求
Communicate and output high-level requirements</t>
  </si>
  <si>
    <t>项目立项-资料填写
Project initiation-data fill in</t>
    <phoneticPr fontId="0" type="noConversion"/>
  </si>
  <si>
    <t>Project Kick Off meeting hosted for all reated departments</t>
  </si>
  <si>
    <t xml:space="preserve"> </t>
  </si>
  <si>
    <t>Output IT function specification</t>
  </si>
  <si>
    <t>准备
Preparation</t>
    <phoneticPr fontId="0" type="noConversion"/>
  </si>
  <si>
    <t>Manohar-G</t>
  </si>
  <si>
    <t>蓝图
Blueprint</t>
  </si>
  <si>
    <t>实现
Realization</t>
    <phoneticPr fontId="0" type="noConversion"/>
  </si>
  <si>
    <t>实现
Realization</t>
  </si>
  <si>
    <t>上线后支持
Post-production Support</t>
    <phoneticPr fontId="0" type="noConversion"/>
  </si>
  <si>
    <t>IT</t>
  </si>
  <si>
    <t>Around 4 hours per day</t>
  </si>
  <si>
    <t>Around 2 hours per day</t>
  </si>
  <si>
    <t>Around 3 hours per day</t>
  </si>
  <si>
    <t>Around 1 hours per day</t>
  </si>
  <si>
    <t>IT功能清单输出             
    IT FunctionList Output</t>
  </si>
  <si>
    <t>上线切换                  
   Move To Production</t>
  </si>
  <si>
    <t>Around 8 hours per day</t>
  </si>
  <si>
    <t>Planning</t>
  </si>
  <si>
    <t>NOT STARTED</t>
  </si>
  <si>
    <t xml:space="preserve">Naga </t>
  </si>
  <si>
    <t xml:space="preserve">Manohar-G , Naga </t>
  </si>
  <si>
    <t xml:space="preserve">Total </t>
  </si>
  <si>
    <t>业务蓝图设计
Business blueprint design 
&amp;
 IT总规划输出
IT Master Plan</t>
  </si>
  <si>
    <t xml:space="preserve">Based on the business(FG,Business) blueprint, design IT solutions. </t>
  </si>
  <si>
    <t>蓝图
Blueprint</t>
    <phoneticPr fontId="2" type="noConversion"/>
  </si>
  <si>
    <t>Manohar</t>
  </si>
  <si>
    <t>蓝图到上线前准备
Blueprint to Final Prep.</t>
    <phoneticPr fontId="1" type="noConversion"/>
  </si>
  <si>
    <t>主数据准备
Master data preparation</t>
    <phoneticPr fontId="1" type="noConversion"/>
  </si>
  <si>
    <t xml:space="preserve">Manohar-g
</t>
  </si>
  <si>
    <t>上线前准备
Final Preparation</t>
    <phoneticPr fontId="1" type="noConversion"/>
  </si>
  <si>
    <t>压力测试
Pressure test</t>
  </si>
  <si>
    <t>回归测试
Regression test</t>
    <phoneticPr fontId="1" type="noConversion"/>
  </si>
  <si>
    <t>权限设计
Rights design</t>
    <phoneticPr fontId="1" type="noConversion"/>
  </si>
  <si>
    <t>权限测试
Rights test</t>
    <phoneticPr fontId="1" type="noConversion"/>
  </si>
  <si>
    <t>Nagarjuna</t>
  </si>
  <si>
    <t>权限分配
Rights assignment</t>
    <phoneticPr fontId="1" type="noConversion"/>
  </si>
  <si>
    <t>Around  1 hours per day</t>
  </si>
  <si>
    <t>Around 0.5 hours per day</t>
  </si>
  <si>
    <t>蓝图汇报
Blueprint review</t>
    <phoneticPr fontId="5" type="noConversion"/>
  </si>
  <si>
    <t>针对蓝图设计成果进行汇报，确认蓝图设计方案 
Report and finalize blueprint solution</t>
    <phoneticPr fontId="5" type="noConversion"/>
  </si>
  <si>
    <t>关键用户培训                                      
 Key user training</t>
    <phoneticPr fontId="5" type="noConversion"/>
  </si>
  <si>
    <t>Manohar-g</t>
    <phoneticPr fontId="5" type="noConversion"/>
  </si>
  <si>
    <t>项目退出
Project exit</t>
    <phoneticPr fontId="5" type="noConversion"/>
  </si>
  <si>
    <t>IT</t>
    <phoneticPr fontId="5" type="noConversion"/>
  </si>
  <si>
    <t>Planning</t>
    <phoneticPr fontId="5" type="noConversion"/>
  </si>
  <si>
    <t>PC</t>
    <phoneticPr fontId="5" type="noConversion"/>
  </si>
  <si>
    <t>Warehouse</t>
    <phoneticPr fontId="5" type="noConversion"/>
  </si>
  <si>
    <t xml:space="preserve">Purchase </t>
    <phoneticPr fontId="5" type="noConversion"/>
  </si>
  <si>
    <t xml:space="preserve">Purchase </t>
    <phoneticPr fontId="5" type="noConversion"/>
  </si>
  <si>
    <t>准备
Preparation</t>
    <phoneticPr fontId="0" type="noConversion"/>
  </si>
  <si>
    <t>Manohar-G</t>
    <phoneticPr fontId="5" type="noConversion"/>
  </si>
  <si>
    <t>Manohar-G</t>
    <phoneticPr fontId="5" type="noConversion"/>
  </si>
  <si>
    <t>Rokhi</t>
    <phoneticPr fontId="5" type="noConversion"/>
  </si>
  <si>
    <t>Manohar -g</t>
    <phoneticPr fontId="5" type="noConversion"/>
  </si>
  <si>
    <t>Rokhi , Naga</t>
    <phoneticPr fontId="5" type="noConversion"/>
  </si>
  <si>
    <t>Manohar-g , Naga</t>
    <phoneticPr fontId="5" type="noConversion"/>
  </si>
  <si>
    <t>Manohar-G, syam, Chandra</t>
    <phoneticPr fontId="5" type="noConversion"/>
  </si>
  <si>
    <t>Naga</t>
    <phoneticPr fontId="5" type="noConversion"/>
  </si>
  <si>
    <t>Manohar-G</t>
    <phoneticPr fontId="5" type="noConversion"/>
  </si>
  <si>
    <t xml:space="preserve">Naga </t>
    <phoneticPr fontId="5" type="noConversion"/>
  </si>
  <si>
    <t>使用情况追踪  System utilization tracking</t>
    <phoneticPr fontId="5" type="noConversion"/>
  </si>
  <si>
    <t>上线后问题追踪处理
PPS issues tracking and handling</t>
    <phoneticPr fontId="5" type="noConversion"/>
  </si>
  <si>
    <t xml:space="preserve">Rokhi , Naga </t>
    <phoneticPr fontId="5" type="noConversion"/>
  </si>
  <si>
    <t>Manohar-G , Syam</t>
    <phoneticPr fontId="5" type="noConversion"/>
  </si>
  <si>
    <t>Siva</t>
    <phoneticPr fontId="5" type="noConversion"/>
  </si>
  <si>
    <t>Naga , Rokhi</t>
    <phoneticPr fontId="5" type="noConversion"/>
  </si>
  <si>
    <t>Derek</t>
    <phoneticPr fontId="5" type="noConversion"/>
  </si>
  <si>
    <t>balaji-v</t>
    <phoneticPr fontId="5" type="noConversion"/>
  </si>
  <si>
    <t>Manohar-G , Chandra , Syam</t>
    <phoneticPr fontId="5" type="noConversion"/>
  </si>
  <si>
    <t>Manohar-G , Chandra , Syam</t>
    <phoneticPr fontId="5" type="noConversion"/>
  </si>
  <si>
    <t>Manohar-g</t>
    <phoneticPr fontId="5" type="noConversion"/>
  </si>
  <si>
    <t xml:space="preserve">Rokhi , Naga </t>
  </si>
  <si>
    <t>Around  1.3 hours per day</t>
  </si>
  <si>
    <t xml:space="preserve">Total Business Mandays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</si>
</sst>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804]General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sz val="10"/>
      <color theme="1" tint="4.9989318521683403E-2"/>
      <name val="微软雅黑"/>
      <family val="2"/>
      <charset val="134"/>
    </font>
    <font>
      <sz val="9"/>
      <name val="Calibri"/>
      <family val="3"/>
      <charset val="134"/>
      <scheme val="minor"/>
    </font>
    <font>
      <b/>
      <sz val="10"/>
      <color rgb="FFFFFFFF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  <font>
      <b/>
      <sz val="10"/>
      <name val="微软雅黑"/>
      <family val="2"/>
      <charset val="134"/>
    </font>
    <font>
      <sz val="11"/>
      <color theme="1"/>
      <name val="Arial"/>
      <family val="2"/>
    </font>
    <font>
      <b/>
      <sz val="16"/>
      <color theme="0"/>
      <name val="Arial"/>
      <family val="2"/>
    </font>
    <font>
      <b/>
      <sz val="10"/>
      <color theme="1"/>
      <name val="微软雅黑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1A386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/>
  </cellStyleXfs>
  <cellXfs count="82">
    <xf numFmtId="0" fontId="0" fillId="0" borderId="0" xfId="0"/>
    <xf numFmtId="164" fontId="2" fillId="2" borderId="1" xfId="1" applyFont="1" applyFill="1" applyBorder="1" applyAlignment="1">
      <alignment horizontal="center" vertical="center" wrapText="1"/>
    </xf>
    <xf numFmtId="14" fontId="2" fillId="2" borderId="1" xfId="1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4" borderId="1" xfId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64" fontId="3" fillId="0" borderId="1" xfId="1" applyFont="1" applyBorder="1" applyAlignment="1">
      <alignment horizontal="center" vertical="center" wrapText="1"/>
    </xf>
    <xf numFmtId="14" fontId="3" fillId="0" borderId="1" xfId="1" applyNumberFormat="1" applyFont="1" applyBorder="1" applyAlignment="1">
      <alignment horizontal="center" vertical="center" wrapText="1"/>
    </xf>
    <xf numFmtId="14" fontId="4" fillId="0" borderId="1" xfId="1" applyNumberFormat="1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4" fontId="3" fillId="0" borderId="1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 wrapText="1"/>
    </xf>
    <xf numFmtId="164" fontId="3" fillId="0" borderId="3" xfId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/>
    </xf>
    <xf numFmtId="0" fontId="3" fillId="0" borderId="1" xfId="1" applyNumberFormat="1" applyFont="1" applyBorder="1" applyAlignment="1">
      <alignment horizontal="center" vertical="center"/>
    </xf>
    <xf numFmtId="164" fontId="6" fillId="3" borderId="1" xfId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16" fontId="7" fillId="0" borderId="0" xfId="0" applyNumberFormat="1" applyFont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7" fillId="0" borderId="0" xfId="0" applyFont="1"/>
    <xf numFmtId="164" fontId="9" fillId="8" borderId="1" xfId="1" applyFont="1" applyFill="1" applyBorder="1" applyAlignment="1">
      <alignment horizontal="center" vertical="center" wrapText="1"/>
    </xf>
    <xf numFmtId="164" fontId="9" fillId="7" borderId="1" xfId="0" applyNumberFormat="1" applyFont="1" applyFill="1" applyBorder="1" applyAlignment="1">
      <alignment horizontal="center" vertical="center"/>
    </xf>
    <xf numFmtId="164" fontId="3" fillId="4" borderId="3" xfId="1" applyFont="1" applyFill="1" applyBorder="1" applyAlignment="1">
      <alignment horizontal="center" vertical="center"/>
    </xf>
    <xf numFmtId="164" fontId="3" fillId="4" borderId="3" xfId="1" applyFont="1" applyFill="1" applyBorder="1" applyAlignment="1">
      <alignment horizontal="center" vertical="center" wrapText="1"/>
    </xf>
    <xf numFmtId="164" fontId="3" fillId="4" borderId="1" xfId="1" applyFont="1" applyFill="1" applyBorder="1" applyAlignment="1">
      <alignment horizontal="center" vertical="center"/>
    </xf>
    <xf numFmtId="164" fontId="3" fillId="0" borderId="1" xfId="1" applyFont="1" applyFill="1" applyBorder="1" applyAlignment="1">
      <alignment horizontal="center" vertical="center" wrapText="1"/>
    </xf>
    <xf numFmtId="164" fontId="3" fillId="0" borderId="2" xfId="0" applyNumberFormat="1" applyFont="1" applyFill="1" applyBorder="1" applyAlignment="1">
      <alignment horizontal="center" vertical="center"/>
    </xf>
    <xf numFmtId="164" fontId="3" fillId="0" borderId="1" xfId="1" applyFont="1" applyFill="1" applyBorder="1" applyAlignment="1">
      <alignment horizontal="center" vertical="center"/>
    </xf>
    <xf numFmtId="0" fontId="3" fillId="4" borderId="1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164" fontId="3" fillId="0" borderId="3" xfId="1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64" fontId="3" fillId="5" borderId="3" xfId="1" applyFont="1" applyFill="1" applyBorder="1" applyAlignment="1">
      <alignment horizontal="center" vertical="center" wrapText="1"/>
    </xf>
    <xf numFmtId="164" fontId="3" fillId="5" borderId="3" xfId="1" applyFont="1" applyFill="1" applyBorder="1" applyAlignment="1">
      <alignment horizontal="center" vertical="center"/>
    </xf>
    <xf numFmtId="164" fontId="3" fillId="4" borderId="2" xfId="1" applyFont="1" applyFill="1" applyBorder="1" applyAlignment="1">
      <alignment horizontal="center" vertical="center"/>
    </xf>
    <xf numFmtId="164" fontId="3" fillId="5" borderId="1" xfId="1" applyFont="1" applyFill="1" applyBorder="1" applyAlignment="1">
      <alignment horizontal="center" vertical="center"/>
    </xf>
    <xf numFmtId="164" fontId="3" fillId="5" borderId="2" xfId="0" applyNumberFormat="1" applyFont="1" applyFill="1" applyBorder="1" applyAlignment="1">
      <alignment horizontal="center" vertical="center"/>
    </xf>
    <xf numFmtId="164" fontId="3" fillId="5" borderId="1" xfId="1" applyFont="1" applyFill="1" applyBorder="1" applyAlignment="1">
      <alignment horizontal="center" vertical="center" wrapText="1"/>
    </xf>
    <xf numFmtId="0" fontId="3" fillId="5" borderId="1" xfId="1" applyNumberFormat="1" applyFont="1" applyFill="1" applyBorder="1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164" fontId="3" fillId="0" borderId="6" xfId="1" applyFont="1" applyBorder="1" applyAlignment="1">
      <alignment horizontal="center" vertical="center"/>
    </xf>
    <xf numFmtId="164" fontId="3" fillId="0" borderId="5" xfId="1" applyFont="1" applyBorder="1" applyAlignment="1">
      <alignment horizontal="center" vertical="center"/>
    </xf>
    <xf numFmtId="14" fontId="3" fillId="0" borderId="3" xfId="1" applyNumberFormat="1" applyFont="1" applyBorder="1" applyAlignment="1">
      <alignment horizontal="center" vertical="center" wrapText="1"/>
    </xf>
    <xf numFmtId="14" fontId="3" fillId="0" borderId="6" xfId="1" applyNumberFormat="1" applyFont="1" applyBorder="1" applyAlignment="1">
      <alignment horizontal="center" vertical="center" wrapText="1"/>
    </xf>
    <xf numFmtId="14" fontId="3" fillId="0" borderId="5" xfId="1" applyNumberFormat="1" applyFont="1" applyBorder="1" applyAlignment="1">
      <alignment horizontal="center" vertical="center" wrapText="1"/>
    </xf>
    <xf numFmtId="164" fontId="3" fillId="0" borderId="3" xfId="1" applyFont="1" applyBorder="1" applyAlignment="1">
      <alignment horizontal="center" vertical="center" wrapText="1"/>
    </xf>
    <xf numFmtId="164" fontId="3" fillId="0" borderId="6" xfId="1" applyFont="1" applyBorder="1" applyAlignment="1">
      <alignment horizontal="center" vertical="center" wrapText="1"/>
    </xf>
    <xf numFmtId="164" fontId="3" fillId="0" borderId="5" xfId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4" fontId="4" fillId="0" borderId="3" xfId="1" applyNumberFormat="1" applyFont="1" applyFill="1" applyBorder="1" applyAlignment="1">
      <alignment horizontal="center" vertical="center" wrapText="1"/>
    </xf>
    <xf numFmtId="14" fontId="4" fillId="0" borderId="6" xfId="1" applyNumberFormat="1" applyFont="1" applyFill="1" applyBorder="1" applyAlignment="1">
      <alignment horizontal="center" vertical="center" wrapText="1"/>
    </xf>
    <xf numFmtId="14" fontId="4" fillId="0" borderId="5" xfId="1" applyNumberFormat="1" applyFont="1" applyFill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164" fontId="3" fillId="0" borderId="6" xfId="0" applyNumberFormat="1" applyFont="1" applyBorder="1" applyAlignment="1">
      <alignment horizontal="center" vertical="center" wrapText="1"/>
    </xf>
    <xf numFmtId="164" fontId="3" fillId="0" borderId="5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</cellXfs>
  <cellStyles count="2">
    <cellStyle name="Normal" xfId="0" builtinId="0"/>
    <cellStyle name="常规 7" xfId="1"/>
  </cellStyles>
  <dxfs count="4">
    <dxf>
      <fill>
        <patternFill>
          <bgColor rgb="FF00B050"/>
        </patternFill>
      </fill>
    </dxf>
    <dxf>
      <fill>
        <patternFill>
          <bgColor theme="6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9"/>
  <sheetViews>
    <sheetView tabSelected="1" topLeftCell="A34" zoomScale="70" zoomScaleNormal="70" workbookViewId="0">
      <selection activeCell="J45" sqref="J45:J47"/>
    </sheetView>
  </sheetViews>
  <sheetFormatPr defaultColWidth="8.85546875" defaultRowHeight="16.5"/>
  <cols>
    <col min="1" max="1" width="6.42578125" style="26" customWidth="1"/>
    <col min="2" max="2" width="26.140625" style="26" customWidth="1"/>
    <col min="3" max="3" width="37.28515625" style="26" customWidth="1"/>
    <col min="4" max="4" width="48.7109375" style="26" customWidth="1"/>
    <col min="5" max="5" width="15.85546875" style="26" customWidth="1"/>
    <col min="6" max="6" width="22.5703125" style="36" customWidth="1"/>
    <col min="7" max="7" width="15.7109375" style="26" customWidth="1"/>
    <col min="8" max="8" width="15.5703125" style="26" customWidth="1"/>
    <col min="9" max="9" width="16.42578125" style="26" customWidth="1"/>
    <col min="10" max="10" width="16.28515625" style="26" customWidth="1"/>
    <col min="11" max="11" width="16.85546875" style="26" customWidth="1"/>
    <col min="12" max="12" width="12" style="26" customWidth="1"/>
    <col min="13" max="13" width="20" style="26" customWidth="1"/>
    <col min="14" max="14" width="15.5703125" style="26" customWidth="1"/>
    <col min="15" max="15" width="14.28515625" style="26" customWidth="1"/>
    <col min="16" max="16" width="15.5703125" style="26" customWidth="1"/>
    <col min="17" max="17" width="44" style="26" customWidth="1"/>
    <col min="18" max="16384" width="8.85546875" style="26"/>
  </cols>
  <sheetData>
    <row r="1" spans="1:17" s="18" customFormat="1" ht="4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" t="s">
        <v>14</v>
      </c>
    </row>
    <row r="2" spans="1:17" s="18" customFormat="1" ht="33.6" customHeight="1">
      <c r="A2" s="58">
        <v>1</v>
      </c>
      <c r="B2" s="58" t="s">
        <v>31</v>
      </c>
      <c r="C2" s="76" t="s">
        <v>15</v>
      </c>
      <c r="D2" s="76" t="s">
        <v>26</v>
      </c>
      <c r="E2" s="58" t="s">
        <v>32</v>
      </c>
      <c r="F2" s="32" t="s">
        <v>97</v>
      </c>
      <c r="G2" s="55">
        <v>45908</v>
      </c>
      <c r="H2" s="55">
        <v>45916</v>
      </c>
      <c r="I2" s="55" t="s">
        <v>29</v>
      </c>
      <c r="J2" s="49" t="s">
        <v>46</v>
      </c>
      <c r="K2" s="12" t="s">
        <v>71</v>
      </c>
      <c r="L2" s="37">
        <v>3</v>
      </c>
      <c r="M2" s="6" t="s">
        <v>41</v>
      </c>
      <c r="N2" s="39">
        <v>3</v>
      </c>
      <c r="O2" s="52" t="s">
        <v>29</v>
      </c>
    </row>
    <row r="3" spans="1:17" s="18" customFormat="1" ht="33.6" customHeight="1">
      <c r="A3" s="59"/>
      <c r="B3" s="59"/>
      <c r="C3" s="77"/>
      <c r="D3" s="77"/>
      <c r="E3" s="59"/>
      <c r="F3" s="32" t="s">
        <v>99</v>
      </c>
      <c r="G3" s="56"/>
      <c r="H3" s="56"/>
      <c r="I3" s="56"/>
      <c r="J3" s="50"/>
      <c r="K3" s="12" t="s">
        <v>72</v>
      </c>
      <c r="L3" s="37">
        <v>2</v>
      </c>
      <c r="M3" s="6" t="s">
        <v>41</v>
      </c>
      <c r="N3" s="39">
        <v>2</v>
      </c>
      <c r="O3" s="53"/>
      <c r="Q3" s="47" t="s">
        <v>101</v>
      </c>
    </row>
    <row r="4" spans="1:17" s="18" customFormat="1" ht="33.6" customHeight="1">
      <c r="A4" s="59"/>
      <c r="B4" s="59"/>
      <c r="C4" s="77"/>
      <c r="D4" s="77"/>
      <c r="E4" s="59"/>
      <c r="F4" s="32" t="s">
        <v>92</v>
      </c>
      <c r="G4" s="56"/>
      <c r="H4" s="56"/>
      <c r="I4" s="56"/>
      <c r="J4" s="50"/>
      <c r="K4" s="12" t="s">
        <v>73</v>
      </c>
      <c r="L4" s="37">
        <v>1</v>
      </c>
      <c r="M4" s="6" t="s">
        <v>41</v>
      </c>
      <c r="N4" s="39">
        <v>1</v>
      </c>
      <c r="O4" s="53"/>
      <c r="Q4" s="48">
        <f>SUM(N3,N4,N5,N6,N10,N11,N12,N13,N16,N17,N18,N19,N22,N23,N24,N25,N31,N33,N37,N46,N49,N53,N56)</f>
        <v>40.125</v>
      </c>
    </row>
    <row r="5" spans="1:17" s="18" customFormat="1" ht="33.6" customHeight="1">
      <c r="A5" s="59"/>
      <c r="B5" s="59"/>
      <c r="C5" s="77"/>
      <c r="D5" s="77"/>
      <c r="E5" s="59"/>
      <c r="F5" s="32" t="s">
        <v>95</v>
      </c>
      <c r="G5" s="56"/>
      <c r="H5" s="56"/>
      <c r="I5" s="56"/>
      <c r="J5" s="50"/>
      <c r="K5" s="12" t="s">
        <v>74</v>
      </c>
      <c r="L5" s="37">
        <v>1</v>
      </c>
      <c r="M5" s="6" t="s">
        <v>41</v>
      </c>
      <c r="N5" s="39">
        <v>1</v>
      </c>
      <c r="O5" s="53"/>
    </row>
    <row r="6" spans="1:17" s="18" customFormat="1" ht="33.6" customHeight="1">
      <c r="A6" s="59"/>
      <c r="B6" s="59"/>
      <c r="C6" s="77"/>
      <c r="D6" s="77"/>
      <c r="E6" s="59"/>
      <c r="F6" s="32" t="s">
        <v>94</v>
      </c>
      <c r="G6" s="56"/>
      <c r="H6" s="56"/>
      <c r="I6" s="56"/>
      <c r="J6" s="50"/>
      <c r="K6" s="12" t="s">
        <v>75</v>
      </c>
      <c r="L6" s="37">
        <v>1</v>
      </c>
      <c r="M6" s="6" t="s">
        <v>41</v>
      </c>
      <c r="N6" s="39">
        <v>1</v>
      </c>
      <c r="O6" s="53"/>
    </row>
    <row r="7" spans="1:17" s="18" customFormat="1" ht="33.6" customHeight="1">
      <c r="A7" s="60"/>
      <c r="B7" s="60"/>
      <c r="C7" s="78"/>
      <c r="D7" s="78"/>
      <c r="E7" s="60"/>
      <c r="F7" s="32"/>
      <c r="G7" s="57"/>
      <c r="H7" s="57"/>
      <c r="I7" s="57"/>
      <c r="J7" s="51"/>
      <c r="K7" s="30" t="s">
        <v>49</v>
      </c>
      <c r="L7" s="29">
        <v>8</v>
      </c>
      <c r="M7" s="30" t="s">
        <v>41</v>
      </c>
      <c r="N7" s="38">
        <v>8</v>
      </c>
      <c r="O7" s="53"/>
    </row>
    <row r="8" spans="1:17" s="18" customFormat="1" ht="46.5" customHeight="1">
      <c r="A8" s="6">
        <v>2</v>
      </c>
      <c r="B8" s="3" t="s">
        <v>77</v>
      </c>
      <c r="C8" s="5" t="s">
        <v>16</v>
      </c>
      <c r="D8" s="5" t="s">
        <v>27</v>
      </c>
      <c r="E8" s="6" t="s">
        <v>32</v>
      </c>
      <c r="F8" s="6" t="s">
        <v>32</v>
      </c>
      <c r="G8" s="7">
        <v>45909</v>
      </c>
      <c r="H8" s="7">
        <v>45911</v>
      </c>
      <c r="I8" s="7" t="s">
        <v>29</v>
      </c>
      <c r="J8" s="19" t="s">
        <v>46</v>
      </c>
      <c r="K8" s="30" t="s">
        <v>37</v>
      </c>
      <c r="L8" s="30">
        <v>1</v>
      </c>
      <c r="M8" s="30" t="s">
        <v>38</v>
      </c>
      <c r="N8" s="30">
        <v>1</v>
      </c>
      <c r="O8" s="54"/>
    </row>
    <row r="9" spans="1:17" s="18" customFormat="1" ht="44.25" customHeight="1">
      <c r="A9" s="58">
        <v>3</v>
      </c>
      <c r="B9" s="76" t="s">
        <v>77</v>
      </c>
      <c r="C9" s="64" t="s">
        <v>17</v>
      </c>
      <c r="D9" s="79" t="s">
        <v>28</v>
      </c>
      <c r="E9" s="58" t="s">
        <v>32</v>
      </c>
      <c r="F9" s="32" t="s">
        <v>96</v>
      </c>
      <c r="G9" s="55">
        <v>45917</v>
      </c>
      <c r="H9" s="55">
        <v>45918</v>
      </c>
      <c r="I9" s="55" t="s">
        <v>29</v>
      </c>
      <c r="J9" s="49" t="s">
        <v>46</v>
      </c>
      <c r="K9" s="12" t="s">
        <v>71</v>
      </c>
      <c r="L9" s="37">
        <v>3</v>
      </c>
      <c r="M9" s="40" t="s">
        <v>41</v>
      </c>
      <c r="N9" s="40">
        <v>0.75</v>
      </c>
      <c r="O9" s="52"/>
    </row>
    <row r="10" spans="1:17" s="18" customFormat="1" ht="46.5" customHeight="1">
      <c r="A10" s="59"/>
      <c r="B10" s="77"/>
      <c r="C10" s="65"/>
      <c r="D10" s="80"/>
      <c r="E10" s="59"/>
      <c r="F10" s="32" t="s">
        <v>93</v>
      </c>
      <c r="G10" s="56"/>
      <c r="H10" s="56"/>
      <c r="I10" s="56"/>
      <c r="J10" s="50"/>
      <c r="K10" s="12" t="s">
        <v>72</v>
      </c>
      <c r="L10" s="37">
        <v>2</v>
      </c>
      <c r="M10" s="40" t="s">
        <v>41</v>
      </c>
      <c r="N10" s="40">
        <v>0.5</v>
      </c>
      <c r="O10" s="53"/>
    </row>
    <row r="11" spans="1:17" s="18" customFormat="1" ht="46.5" customHeight="1">
      <c r="A11" s="59"/>
      <c r="B11" s="77"/>
      <c r="C11" s="65"/>
      <c r="D11" s="80"/>
      <c r="E11" s="59"/>
      <c r="F11" s="32" t="s">
        <v>92</v>
      </c>
      <c r="G11" s="56"/>
      <c r="H11" s="56"/>
      <c r="I11" s="56"/>
      <c r="J11" s="50"/>
      <c r="K11" s="12" t="s">
        <v>73</v>
      </c>
      <c r="L11" s="37">
        <v>1</v>
      </c>
      <c r="M11" s="40" t="s">
        <v>41</v>
      </c>
      <c r="N11" s="40">
        <v>0.25</v>
      </c>
      <c r="O11" s="53"/>
    </row>
    <row r="12" spans="1:17" s="18" customFormat="1" ht="46.5" customHeight="1">
      <c r="A12" s="59"/>
      <c r="B12" s="77"/>
      <c r="C12" s="65"/>
      <c r="D12" s="80"/>
      <c r="E12" s="59"/>
      <c r="F12" s="32" t="s">
        <v>95</v>
      </c>
      <c r="G12" s="56"/>
      <c r="H12" s="56"/>
      <c r="I12" s="56"/>
      <c r="J12" s="50"/>
      <c r="K12" s="12" t="s">
        <v>74</v>
      </c>
      <c r="L12" s="37">
        <v>1</v>
      </c>
      <c r="M12" s="40" t="s">
        <v>41</v>
      </c>
      <c r="N12" s="40">
        <v>0.25</v>
      </c>
      <c r="O12" s="53"/>
    </row>
    <row r="13" spans="1:17" s="18" customFormat="1" ht="54.75" customHeight="1">
      <c r="A13" s="59"/>
      <c r="B13" s="77"/>
      <c r="C13" s="65"/>
      <c r="D13" s="80"/>
      <c r="E13" s="59"/>
      <c r="F13" s="32" t="s">
        <v>94</v>
      </c>
      <c r="G13" s="56"/>
      <c r="H13" s="56"/>
      <c r="I13" s="56"/>
      <c r="J13" s="50"/>
      <c r="K13" s="12" t="s">
        <v>76</v>
      </c>
      <c r="L13" s="37">
        <v>1</v>
      </c>
      <c r="M13" s="40" t="s">
        <v>41</v>
      </c>
      <c r="N13" s="41">
        <v>0.25</v>
      </c>
      <c r="O13" s="53"/>
    </row>
    <row r="14" spans="1:17" s="18" customFormat="1" ht="54.75" customHeight="1">
      <c r="A14" s="60"/>
      <c r="B14" s="78"/>
      <c r="C14" s="66"/>
      <c r="D14" s="81"/>
      <c r="E14" s="60"/>
      <c r="F14" s="32"/>
      <c r="G14" s="57"/>
      <c r="H14" s="57"/>
      <c r="I14" s="57"/>
      <c r="J14" s="51"/>
      <c r="K14" s="30" t="s">
        <v>49</v>
      </c>
      <c r="L14" s="29">
        <v>8</v>
      </c>
      <c r="M14" s="30" t="s">
        <v>41</v>
      </c>
      <c r="N14" s="29">
        <v>2</v>
      </c>
      <c r="O14" s="54"/>
    </row>
    <row r="15" spans="1:17" s="18" customFormat="1" ht="44.25" customHeight="1">
      <c r="A15" s="58">
        <v>4</v>
      </c>
      <c r="B15" s="61" t="s">
        <v>52</v>
      </c>
      <c r="C15" s="64" t="s">
        <v>50</v>
      </c>
      <c r="D15" s="58" t="s">
        <v>51</v>
      </c>
      <c r="E15" s="58" t="s">
        <v>53</v>
      </c>
      <c r="F15" s="32" t="s">
        <v>96</v>
      </c>
      <c r="G15" s="55">
        <v>45919</v>
      </c>
      <c r="H15" s="55">
        <v>45919</v>
      </c>
      <c r="I15" s="55"/>
      <c r="J15" s="49" t="s">
        <v>46</v>
      </c>
      <c r="K15" s="12" t="s">
        <v>71</v>
      </c>
      <c r="L15" s="37">
        <v>3</v>
      </c>
      <c r="M15" s="40" t="s">
        <v>41</v>
      </c>
      <c r="N15" s="41">
        <v>0.375</v>
      </c>
      <c r="O15" s="52"/>
    </row>
    <row r="16" spans="1:17" s="18" customFormat="1" ht="40.5" customHeight="1">
      <c r="A16" s="59"/>
      <c r="B16" s="62"/>
      <c r="C16" s="65"/>
      <c r="D16" s="59"/>
      <c r="E16" s="59"/>
      <c r="F16" s="32" t="s">
        <v>93</v>
      </c>
      <c r="G16" s="56"/>
      <c r="H16" s="56"/>
      <c r="I16" s="56"/>
      <c r="J16" s="50"/>
      <c r="K16" s="12" t="s">
        <v>72</v>
      </c>
      <c r="L16" s="37">
        <v>2</v>
      </c>
      <c r="M16" s="40" t="s">
        <v>41</v>
      </c>
      <c r="N16" s="41">
        <v>0.25</v>
      </c>
      <c r="O16" s="53"/>
    </row>
    <row r="17" spans="1:18" s="18" customFormat="1" ht="45" customHeight="1">
      <c r="A17" s="59"/>
      <c r="B17" s="62"/>
      <c r="C17" s="65"/>
      <c r="D17" s="59"/>
      <c r="E17" s="59"/>
      <c r="F17" s="32" t="s">
        <v>92</v>
      </c>
      <c r="G17" s="56"/>
      <c r="H17" s="56"/>
      <c r="I17" s="56"/>
      <c r="J17" s="50"/>
      <c r="K17" s="12" t="s">
        <v>73</v>
      </c>
      <c r="L17" s="37">
        <v>1</v>
      </c>
      <c r="M17" s="40" t="s">
        <v>41</v>
      </c>
      <c r="N17" s="41">
        <v>0.125</v>
      </c>
      <c r="O17" s="53"/>
    </row>
    <row r="18" spans="1:18" s="18" customFormat="1" ht="35.25" customHeight="1">
      <c r="A18" s="59"/>
      <c r="B18" s="62"/>
      <c r="C18" s="65"/>
      <c r="D18" s="59"/>
      <c r="E18" s="59"/>
      <c r="F18" s="32" t="s">
        <v>95</v>
      </c>
      <c r="G18" s="56"/>
      <c r="H18" s="56"/>
      <c r="I18" s="56"/>
      <c r="J18" s="50"/>
      <c r="K18" s="12" t="s">
        <v>74</v>
      </c>
      <c r="L18" s="37">
        <v>1</v>
      </c>
      <c r="M18" s="40" t="s">
        <v>41</v>
      </c>
      <c r="N18" s="41">
        <v>0.125</v>
      </c>
      <c r="O18" s="53"/>
    </row>
    <row r="19" spans="1:18" s="18" customFormat="1" ht="43.5" customHeight="1">
      <c r="A19" s="59"/>
      <c r="B19" s="62"/>
      <c r="C19" s="65"/>
      <c r="D19" s="59"/>
      <c r="E19" s="59"/>
      <c r="F19" s="32" t="s">
        <v>94</v>
      </c>
      <c r="G19" s="56"/>
      <c r="H19" s="56"/>
      <c r="I19" s="56"/>
      <c r="J19" s="50"/>
      <c r="K19" s="12" t="s">
        <v>76</v>
      </c>
      <c r="L19" s="37">
        <v>1</v>
      </c>
      <c r="M19" s="40" t="s">
        <v>41</v>
      </c>
      <c r="N19" s="41">
        <v>0.125</v>
      </c>
      <c r="O19" s="53"/>
      <c r="R19" s="22"/>
    </row>
    <row r="20" spans="1:18" s="18" customFormat="1" ht="51.75" customHeight="1">
      <c r="A20" s="60"/>
      <c r="B20" s="63"/>
      <c r="C20" s="66"/>
      <c r="D20" s="60"/>
      <c r="E20" s="60"/>
      <c r="F20" s="32"/>
      <c r="G20" s="57"/>
      <c r="H20" s="57"/>
      <c r="I20" s="57"/>
      <c r="J20" s="51"/>
      <c r="K20" s="30" t="s">
        <v>49</v>
      </c>
      <c r="L20" s="29">
        <v>8</v>
      </c>
      <c r="M20" s="30" t="s">
        <v>41</v>
      </c>
      <c r="N20" s="29">
        <v>1</v>
      </c>
      <c r="O20" s="54"/>
      <c r="R20" s="22"/>
    </row>
    <row r="21" spans="1:18" s="18" customFormat="1" ht="54.75" customHeight="1">
      <c r="A21" s="58">
        <v>5</v>
      </c>
      <c r="B21" s="61" t="s">
        <v>33</v>
      </c>
      <c r="C21" s="64" t="s">
        <v>66</v>
      </c>
      <c r="D21" s="58" t="s">
        <v>67</v>
      </c>
      <c r="E21" s="58" t="s">
        <v>78</v>
      </c>
      <c r="F21" s="32" t="s">
        <v>96</v>
      </c>
      <c r="G21" s="55">
        <v>45919</v>
      </c>
      <c r="H21" s="55">
        <v>45920</v>
      </c>
      <c r="I21" s="55" t="s">
        <v>29</v>
      </c>
      <c r="J21" s="49" t="s">
        <v>46</v>
      </c>
      <c r="K21" s="12" t="s">
        <v>71</v>
      </c>
      <c r="L21" s="37">
        <v>3</v>
      </c>
      <c r="M21" s="40" t="s">
        <v>41</v>
      </c>
      <c r="N21" s="41">
        <v>0.75</v>
      </c>
      <c r="O21" s="52"/>
    </row>
    <row r="22" spans="1:18" s="18" customFormat="1" ht="54.75" customHeight="1">
      <c r="A22" s="59"/>
      <c r="B22" s="62"/>
      <c r="C22" s="65"/>
      <c r="D22" s="59"/>
      <c r="E22" s="59"/>
      <c r="F22" s="32" t="s">
        <v>93</v>
      </c>
      <c r="G22" s="56"/>
      <c r="H22" s="56"/>
      <c r="I22" s="56"/>
      <c r="J22" s="50"/>
      <c r="K22" s="12" t="s">
        <v>72</v>
      </c>
      <c r="L22" s="37">
        <v>2</v>
      </c>
      <c r="M22" s="40" t="s">
        <v>41</v>
      </c>
      <c r="N22" s="41">
        <v>0.5</v>
      </c>
      <c r="O22" s="53"/>
    </row>
    <row r="23" spans="1:18" s="18" customFormat="1" ht="54.75" customHeight="1">
      <c r="A23" s="59"/>
      <c r="B23" s="62"/>
      <c r="C23" s="65"/>
      <c r="D23" s="59"/>
      <c r="E23" s="59"/>
      <c r="F23" s="32" t="s">
        <v>92</v>
      </c>
      <c r="G23" s="56"/>
      <c r="H23" s="56"/>
      <c r="I23" s="56"/>
      <c r="J23" s="50"/>
      <c r="K23" s="12" t="s">
        <v>73</v>
      </c>
      <c r="L23" s="37">
        <v>1</v>
      </c>
      <c r="M23" s="40" t="s">
        <v>41</v>
      </c>
      <c r="N23" s="41">
        <v>0.25</v>
      </c>
      <c r="O23" s="53"/>
    </row>
    <row r="24" spans="1:18" s="18" customFormat="1" ht="54.75" customHeight="1">
      <c r="A24" s="59"/>
      <c r="B24" s="62"/>
      <c r="C24" s="65"/>
      <c r="D24" s="59"/>
      <c r="E24" s="59"/>
      <c r="F24" s="32" t="s">
        <v>95</v>
      </c>
      <c r="G24" s="56"/>
      <c r="H24" s="56"/>
      <c r="I24" s="56"/>
      <c r="J24" s="50"/>
      <c r="K24" s="12" t="s">
        <v>74</v>
      </c>
      <c r="L24" s="37">
        <v>1</v>
      </c>
      <c r="M24" s="40" t="s">
        <v>41</v>
      </c>
      <c r="N24" s="41">
        <v>0.25</v>
      </c>
      <c r="O24" s="53"/>
    </row>
    <row r="25" spans="1:18" s="18" customFormat="1" ht="52.5" customHeight="1">
      <c r="A25" s="59"/>
      <c r="B25" s="62"/>
      <c r="C25" s="65"/>
      <c r="D25" s="59"/>
      <c r="E25" s="59"/>
      <c r="F25" s="32" t="s">
        <v>94</v>
      </c>
      <c r="G25" s="56"/>
      <c r="H25" s="56"/>
      <c r="I25" s="56"/>
      <c r="J25" s="50"/>
      <c r="K25" s="12" t="s">
        <v>76</v>
      </c>
      <c r="L25" s="37">
        <v>1</v>
      </c>
      <c r="M25" s="40" t="s">
        <v>41</v>
      </c>
      <c r="N25" s="41">
        <v>0.25</v>
      </c>
      <c r="O25" s="53"/>
    </row>
    <row r="26" spans="1:18" s="18" customFormat="1" ht="52.5" customHeight="1">
      <c r="A26" s="60"/>
      <c r="B26" s="63"/>
      <c r="C26" s="66"/>
      <c r="D26" s="60"/>
      <c r="E26" s="60"/>
      <c r="F26" s="32"/>
      <c r="G26" s="57"/>
      <c r="H26" s="57"/>
      <c r="I26" s="57"/>
      <c r="J26" s="51"/>
      <c r="K26" s="30" t="s">
        <v>49</v>
      </c>
      <c r="L26" s="29">
        <v>8</v>
      </c>
      <c r="M26" s="30" t="s">
        <v>41</v>
      </c>
      <c r="N26" s="29">
        <v>2</v>
      </c>
      <c r="O26" s="54"/>
    </row>
    <row r="27" spans="1:18" s="18" customFormat="1" ht="45.75" customHeight="1">
      <c r="A27" s="6">
        <v>6</v>
      </c>
      <c r="B27" s="20" t="s">
        <v>33</v>
      </c>
      <c r="C27" s="21" t="s">
        <v>42</v>
      </c>
      <c r="D27" s="6" t="s">
        <v>29</v>
      </c>
      <c r="E27" s="6" t="s">
        <v>32</v>
      </c>
      <c r="F27" s="6" t="s">
        <v>32</v>
      </c>
      <c r="G27" s="7">
        <v>45922</v>
      </c>
      <c r="H27" s="7">
        <v>45923</v>
      </c>
      <c r="I27" s="7" t="s">
        <v>29</v>
      </c>
      <c r="J27" s="19" t="s">
        <v>46</v>
      </c>
      <c r="K27" s="12" t="s">
        <v>37</v>
      </c>
      <c r="L27" s="37">
        <v>1</v>
      </c>
      <c r="M27" s="12" t="s">
        <v>44</v>
      </c>
      <c r="N27" s="13">
        <v>2</v>
      </c>
      <c r="O27" s="11"/>
    </row>
    <row r="28" spans="1:18" s="18" customFormat="1" ht="52.5" customHeight="1">
      <c r="A28" s="6">
        <v>7</v>
      </c>
      <c r="B28" s="20" t="s">
        <v>34</v>
      </c>
      <c r="C28" s="21" t="s">
        <v>18</v>
      </c>
      <c r="D28" s="6" t="s">
        <v>30</v>
      </c>
      <c r="E28" s="6" t="s">
        <v>32</v>
      </c>
      <c r="F28" s="6" t="s">
        <v>32</v>
      </c>
      <c r="G28" s="7">
        <v>45924</v>
      </c>
      <c r="H28" s="7">
        <v>45925</v>
      </c>
      <c r="I28" s="7" t="s">
        <v>29</v>
      </c>
      <c r="J28" s="19" t="s">
        <v>46</v>
      </c>
      <c r="K28" s="12" t="s">
        <v>37</v>
      </c>
      <c r="L28" s="37">
        <v>1</v>
      </c>
      <c r="M28" s="12" t="s">
        <v>44</v>
      </c>
      <c r="N28" s="13">
        <v>2</v>
      </c>
      <c r="O28" s="11"/>
    </row>
    <row r="29" spans="1:18" s="18" customFormat="1" ht="42" customHeight="1">
      <c r="A29" s="6">
        <v>8</v>
      </c>
      <c r="B29" s="20" t="s">
        <v>34</v>
      </c>
      <c r="C29" s="21" t="s">
        <v>19</v>
      </c>
      <c r="D29" s="6"/>
      <c r="E29" s="6" t="s">
        <v>32</v>
      </c>
      <c r="F29" s="6" t="s">
        <v>32</v>
      </c>
      <c r="G29" s="7">
        <v>45931</v>
      </c>
      <c r="H29" s="8">
        <v>45990</v>
      </c>
      <c r="I29" s="7" t="s">
        <v>29</v>
      </c>
      <c r="J29" s="19" t="s">
        <v>46</v>
      </c>
      <c r="K29" s="12" t="s">
        <v>37</v>
      </c>
      <c r="L29" s="34">
        <v>1</v>
      </c>
      <c r="M29" s="12" t="s">
        <v>38</v>
      </c>
      <c r="N29" s="13">
        <v>30</v>
      </c>
      <c r="O29" s="11"/>
    </row>
    <row r="30" spans="1:18" s="18" customFormat="1" ht="39" customHeight="1">
      <c r="A30" s="6">
        <v>9</v>
      </c>
      <c r="B30" s="20" t="s">
        <v>34</v>
      </c>
      <c r="C30" s="23" t="s">
        <v>20</v>
      </c>
      <c r="D30" s="6"/>
      <c r="E30" s="6" t="s">
        <v>32</v>
      </c>
      <c r="F30" s="6" t="s">
        <v>78</v>
      </c>
      <c r="G30" s="7">
        <v>45940</v>
      </c>
      <c r="H30" s="8">
        <v>46001</v>
      </c>
      <c r="I30" s="7" t="s">
        <v>29</v>
      </c>
      <c r="J30" s="19" t="s">
        <v>46</v>
      </c>
      <c r="K30" s="12" t="s">
        <v>37</v>
      </c>
      <c r="L30" s="34">
        <v>1</v>
      </c>
      <c r="M30" s="12" t="s">
        <v>100</v>
      </c>
      <c r="N30" s="13">
        <v>11</v>
      </c>
      <c r="O30" s="11"/>
    </row>
    <row r="31" spans="1:18" s="18" customFormat="1" ht="39.75" customHeight="1">
      <c r="A31" s="6">
        <v>10</v>
      </c>
      <c r="B31" s="20" t="s">
        <v>34</v>
      </c>
      <c r="C31" s="23" t="s">
        <v>21</v>
      </c>
      <c r="D31" s="6"/>
      <c r="E31" s="6" t="s">
        <v>32</v>
      </c>
      <c r="F31" s="6" t="s">
        <v>47</v>
      </c>
      <c r="G31" s="7">
        <v>45941</v>
      </c>
      <c r="H31" s="8">
        <v>46002</v>
      </c>
      <c r="I31" s="7" t="s">
        <v>29</v>
      </c>
      <c r="J31" s="19" t="s">
        <v>46</v>
      </c>
      <c r="K31" s="12" t="s">
        <v>45</v>
      </c>
      <c r="L31" s="34">
        <v>1</v>
      </c>
      <c r="M31" s="12" t="s">
        <v>64</v>
      </c>
      <c r="N31" s="13">
        <v>8</v>
      </c>
      <c r="O31" s="11"/>
    </row>
    <row r="32" spans="1:18" s="18" customFormat="1" ht="39.75" customHeight="1">
      <c r="A32" s="58">
        <v>11</v>
      </c>
      <c r="B32" s="61" t="s">
        <v>35</v>
      </c>
      <c r="C32" s="64" t="s">
        <v>68</v>
      </c>
      <c r="D32" s="58"/>
      <c r="E32" s="58" t="s">
        <v>32</v>
      </c>
      <c r="F32" s="32" t="s">
        <v>81</v>
      </c>
      <c r="G32" s="70">
        <v>46003</v>
      </c>
      <c r="H32" s="70">
        <v>46007</v>
      </c>
      <c r="I32" s="55" t="s">
        <v>29</v>
      </c>
      <c r="J32" s="49" t="s">
        <v>46</v>
      </c>
      <c r="K32" s="12" t="s">
        <v>37</v>
      </c>
      <c r="L32" s="34">
        <v>1</v>
      </c>
      <c r="M32" s="40" t="s">
        <v>40</v>
      </c>
      <c r="N32" s="41">
        <v>1.5</v>
      </c>
      <c r="O32" s="52"/>
    </row>
    <row r="33" spans="1:15" s="18" customFormat="1" ht="45.75" customHeight="1">
      <c r="A33" s="59"/>
      <c r="B33" s="62"/>
      <c r="C33" s="65"/>
      <c r="D33" s="59"/>
      <c r="E33" s="59"/>
      <c r="F33" s="32" t="s">
        <v>82</v>
      </c>
      <c r="G33" s="71"/>
      <c r="H33" s="71"/>
      <c r="I33" s="56"/>
      <c r="J33" s="50"/>
      <c r="K33" s="12" t="s">
        <v>45</v>
      </c>
      <c r="L33" s="34">
        <v>2</v>
      </c>
      <c r="M33" s="40" t="s">
        <v>40</v>
      </c>
      <c r="N33" s="43">
        <v>3</v>
      </c>
      <c r="O33" s="53"/>
    </row>
    <row r="34" spans="1:15" s="18" customFormat="1" ht="45.75" customHeight="1">
      <c r="A34" s="60"/>
      <c r="B34" s="63"/>
      <c r="C34" s="66"/>
      <c r="D34" s="60"/>
      <c r="E34" s="60"/>
      <c r="F34" s="32"/>
      <c r="G34" s="72"/>
      <c r="H34" s="72"/>
      <c r="I34" s="57"/>
      <c r="J34" s="51"/>
      <c r="K34" s="30" t="s">
        <v>49</v>
      </c>
      <c r="L34" s="42">
        <v>3</v>
      </c>
      <c r="M34" s="30" t="s">
        <v>40</v>
      </c>
      <c r="N34" s="42">
        <v>4.5</v>
      </c>
      <c r="O34" s="54"/>
    </row>
    <row r="35" spans="1:15" s="18" customFormat="1" ht="47.25" customHeight="1">
      <c r="A35" s="9">
        <v>12</v>
      </c>
      <c r="B35" s="24" t="s">
        <v>35</v>
      </c>
      <c r="C35" s="25" t="s">
        <v>22</v>
      </c>
      <c r="D35" s="10"/>
      <c r="E35" s="6" t="s">
        <v>32</v>
      </c>
      <c r="F35" s="6" t="s">
        <v>32</v>
      </c>
      <c r="G35" s="8">
        <v>46008</v>
      </c>
      <c r="H35" s="8">
        <v>46009</v>
      </c>
      <c r="I35" s="7" t="s">
        <v>29</v>
      </c>
      <c r="J35" s="19" t="s">
        <v>46</v>
      </c>
      <c r="K35" s="12" t="s">
        <v>37</v>
      </c>
      <c r="L35" s="33">
        <v>1</v>
      </c>
      <c r="M35" s="14" t="s">
        <v>44</v>
      </c>
      <c r="N35" s="15">
        <v>4</v>
      </c>
      <c r="O35" s="15"/>
    </row>
    <row r="36" spans="1:15" s="18" customFormat="1" ht="47.25" customHeight="1">
      <c r="A36" s="58">
        <v>13</v>
      </c>
      <c r="B36" s="61" t="s">
        <v>34</v>
      </c>
      <c r="C36" s="64" t="s">
        <v>23</v>
      </c>
      <c r="D36" s="73"/>
      <c r="E36" s="58" t="s">
        <v>32</v>
      </c>
      <c r="F36" s="6" t="s">
        <v>79</v>
      </c>
      <c r="G36" s="70">
        <v>46010</v>
      </c>
      <c r="H36" s="70">
        <v>46018</v>
      </c>
      <c r="I36" s="55" t="s">
        <v>29</v>
      </c>
      <c r="J36" s="49" t="s">
        <v>46</v>
      </c>
      <c r="K36" s="12" t="s">
        <v>37</v>
      </c>
      <c r="L36" s="33">
        <v>1</v>
      </c>
      <c r="M36" s="40" t="s">
        <v>40</v>
      </c>
      <c r="N36" s="44">
        <v>3</v>
      </c>
      <c r="O36" s="67"/>
    </row>
    <row r="37" spans="1:15" s="18" customFormat="1" ht="42" customHeight="1">
      <c r="A37" s="59"/>
      <c r="B37" s="62"/>
      <c r="C37" s="65"/>
      <c r="D37" s="74"/>
      <c r="E37" s="59"/>
      <c r="F37" s="6" t="s">
        <v>80</v>
      </c>
      <c r="G37" s="71"/>
      <c r="H37" s="71"/>
      <c r="I37" s="56"/>
      <c r="J37" s="50"/>
      <c r="K37" s="12" t="s">
        <v>45</v>
      </c>
      <c r="L37" s="34">
        <v>1</v>
      </c>
      <c r="M37" s="40" t="s">
        <v>40</v>
      </c>
      <c r="N37" s="43">
        <v>3</v>
      </c>
      <c r="O37" s="68"/>
    </row>
    <row r="38" spans="1:15" s="18" customFormat="1" ht="42" customHeight="1">
      <c r="A38" s="60"/>
      <c r="B38" s="63"/>
      <c r="C38" s="66"/>
      <c r="D38" s="75"/>
      <c r="E38" s="60"/>
      <c r="F38" s="6"/>
      <c r="G38" s="72"/>
      <c r="H38" s="72"/>
      <c r="I38" s="57"/>
      <c r="J38" s="51"/>
      <c r="K38" s="30" t="s">
        <v>49</v>
      </c>
      <c r="L38" s="31">
        <v>2</v>
      </c>
      <c r="M38" s="30" t="s">
        <v>40</v>
      </c>
      <c r="N38" s="31">
        <v>6</v>
      </c>
      <c r="O38" s="69"/>
    </row>
    <row r="39" spans="1:15" s="18" customFormat="1" ht="47.25" customHeight="1">
      <c r="A39" s="6">
        <v>14</v>
      </c>
      <c r="B39" s="20" t="s">
        <v>54</v>
      </c>
      <c r="C39" s="20" t="s">
        <v>55</v>
      </c>
      <c r="D39" s="6"/>
      <c r="E39" s="6" t="s">
        <v>56</v>
      </c>
      <c r="F39" s="6" t="s">
        <v>69</v>
      </c>
      <c r="G39" s="7">
        <v>45908</v>
      </c>
      <c r="H39" s="7">
        <v>45990</v>
      </c>
      <c r="I39" s="7"/>
      <c r="J39" s="19" t="s">
        <v>46</v>
      </c>
      <c r="K39" s="12" t="s">
        <v>37</v>
      </c>
      <c r="L39" s="34">
        <v>1</v>
      </c>
      <c r="M39" s="12" t="s">
        <v>65</v>
      </c>
      <c r="N39" s="11">
        <v>5</v>
      </c>
      <c r="O39" s="11"/>
    </row>
    <row r="40" spans="1:15" s="18" customFormat="1" ht="42" customHeight="1">
      <c r="A40" s="6">
        <v>15</v>
      </c>
      <c r="B40" s="20" t="s">
        <v>57</v>
      </c>
      <c r="C40" s="20" t="s">
        <v>58</v>
      </c>
      <c r="D40" s="6"/>
      <c r="E40" s="6" t="s">
        <v>56</v>
      </c>
      <c r="F40" s="6" t="s">
        <v>69</v>
      </c>
      <c r="G40" s="8">
        <v>46019</v>
      </c>
      <c r="H40" s="8">
        <v>46020</v>
      </c>
      <c r="I40" s="7"/>
      <c r="J40" s="19" t="s">
        <v>46</v>
      </c>
      <c r="K40" s="12" t="s">
        <v>37</v>
      </c>
      <c r="L40" s="34">
        <v>1</v>
      </c>
      <c r="M40" s="12" t="s">
        <v>44</v>
      </c>
      <c r="N40" s="11">
        <v>2</v>
      </c>
      <c r="O40" s="11"/>
    </row>
    <row r="41" spans="1:15" s="18" customFormat="1" ht="42" customHeight="1">
      <c r="A41" s="6">
        <v>16</v>
      </c>
      <c r="B41" s="20" t="s">
        <v>57</v>
      </c>
      <c r="C41" s="20" t="s">
        <v>59</v>
      </c>
      <c r="D41" s="6"/>
      <c r="E41" s="6" t="s">
        <v>56</v>
      </c>
      <c r="F41" s="6" t="s">
        <v>69</v>
      </c>
      <c r="G41" s="8">
        <v>46021</v>
      </c>
      <c r="H41" s="8">
        <v>46022</v>
      </c>
      <c r="I41" s="7"/>
      <c r="J41" s="19" t="s">
        <v>46</v>
      </c>
      <c r="K41" s="12" t="s">
        <v>37</v>
      </c>
      <c r="L41" s="34">
        <v>1</v>
      </c>
      <c r="M41" s="12" t="s">
        <v>44</v>
      </c>
      <c r="N41" s="11">
        <v>2</v>
      </c>
      <c r="O41" s="11"/>
    </row>
    <row r="42" spans="1:15" s="18" customFormat="1" ht="42" customHeight="1">
      <c r="A42" s="6">
        <v>17</v>
      </c>
      <c r="B42" s="20" t="s">
        <v>57</v>
      </c>
      <c r="C42" s="20" t="s">
        <v>60</v>
      </c>
      <c r="D42" s="6"/>
      <c r="E42" s="6" t="s">
        <v>56</v>
      </c>
      <c r="F42" s="6" t="s">
        <v>98</v>
      </c>
      <c r="G42" s="7">
        <v>46023</v>
      </c>
      <c r="H42" s="7">
        <v>46024</v>
      </c>
      <c r="I42" s="7"/>
      <c r="J42" s="19" t="s">
        <v>46</v>
      </c>
      <c r="K42" s="12" t="s">
        <v>37</v>
      </c>
      <c r="L42" s="34">
        <v>1</v>
      </c>
      <c r="M42" s="12" t="s">
        <v>44</v>
      </c>
      <c r="N42" s="11">
        <v>2</v>
      </c>
      <c r="O42" s="11"/>
    </row>
    <row r="43" spans="1:15" s="18" customFormat="1" ht="42" customHeight="1">
      <c r="A43" s="6">
        <v>18</v>
      </c>
      <c r="B43" s="20" t="s">
        <v>57</v>
      </c>
      <c r="C43" s="20" t="s">
        <v>61</v>
      </c>
      <c r="D43" s="6"/>
      <c r="E43" s="6" t="s">
        <v>56</v>
      </c>
      <c r="F43" s="6" t="s">
        <v>62</v>
      </c>
      <c r="G43" s="7">
        <v>46025</v>
      </c>
      <c r="H43" s="7">
        <v>46027</v>
      </c>
      <c r="I43" s="7"/>
      <c r="J43" s="19" t="s">
        <v>46</v>
      </c>
      <c r="K43" s="12" t="s">
        <v>37</v>
      </c>
      <c r="L43" s="34">
        <v>1</v>
      </c>
      <c r="M43" s="12" t="s">
        <v>44</v>
      </c>
      <c r="N43" s="11">
        <v>2</v>
      </c>
      <c r="O43" s="11"/>
    </row>
    <row r="44" spans="1:15" s="18" customFormat="1" ht="51.75" customHeight="1">
      <c r="A44" s="6">
        <v>19</v>
      </c>
      <c r="B44" s="20" t="s">
        <v>57</v>
      </c>
      <c r="C44" s="20" t="s">
        <v>63</v>
      </c>
      <c r="D44" s="6"/>
      <c r="E44" s="6" t="s">
        <v>69</v>
      </c>
      <c r="F44" s="6" t="s">
        <v>83</v>
      </c>
      <c r="G44" s="7">
        <v>46028</v>
      </c>
      <c r="H44" s="7">
        <v>46029</v>
      </c>
      <c r="I44" s="7"/>
      <c r="J44" s="19" t="s">
        <v>46</v>
      </c>
      <c r="K44" s="12" t="s">
        <v>37</v>
      </c>
      <c r="L44" s="34">
        <v>2</v>
      </c>
      <c r="M44" s="12" t="s">
        <v>44</v>
      </c>
      <c r="N44" s="11">
        <v>4</v>
      </c>
      <c r="O44" s="11"/>
    </row>
    <row r="45" spans="1:15" s="18" customFormat="1" ht="51.75" customHeight="1">
      <c r="A45" s="58">
        <v>20</v>
      </c>
      <c r="B45" s="61" t="s">
        <v>57</v>
      </c>
      <c r="C45" s="64" t="s">
        <v>24</v>
      </c>
      <c r="D45" s="58" t="s">
        <v>29</v>
      </c>
      <c r="E45" s="58" t="s">
        <v>32</v>
      </c>
      <c r="F45" s="6" t="s">
        <v>84</v>
      </c>
      <c r="G45" s="55">
        <v>46030</v>
      </c>
      <c r="H45" s="55">
        <v>46030</v>
      </c>
      <c r="I45" s="55" t="s">
        <v>29</v>
      </c>
      <c r="J45" s="49" t="s">
        <v>46</v>
      </c>
      <c r="K45" s="12" t="s">
        <v>37</v>
      </c>
      <c r="L45" s="34">
        <v>3</v>
      </c>
      <c r="M45" s="40" t="s">
        <v>38</v>
      </c>
      <c r="N45" s="43">
        <v>1.5</v>
      </c>
      <c r="O45" s="52"/>
    </row>
    <row r="46" spans="1:15" s="18" customFormat="1" ht="50.25" customHeight="1">
      <c r="A46" s="59"/>
      <c r="B46" s="62"/>
      <c r="C46" s="65"/>
      <c r="D46" s="59"/>
      <c r="E46" s="59"/>
      <c r="F46" s="6" t="s">
        <v>85</v>
      </c>
      <c r="G46" s="56"/>
      <c r="H46" s="56"/>
      <c r="I46" s="56"/>
      <c r="J46" s="50"/>
      <c r="K46" s="12" t="s">
        <v>45</v>
      </c>
      <c r="L46" s="34">
        <v>1</v>
      </c>
      <c r="M46" s="40" t="s">
        <v>38</v>
      </c>
      <c r="N46" s="43">
        <v>0.5</v>
      </c>
      <c r="O46" s="53"/>
    </row>
    <row r="47" spans="1:15" s="18" customFormat="1" ht="50.25" customHeight="1">
      <c r="A47" s="60"/>
      <c r="B47" s="63"/>
      <c r="C47" s="66"/>
      <c r="D47" s="60"/>
      <c r="E47" s="60"/>
      <c r="F47" s="6"/>
      <c r="G47" s="57"/>
      <c r="H47" s="57"/>
      <c r="I47" s="57"/>
      <c r="J47" s="51"/>
      <c r="K47" s="30" t="s">
        <v>49</v>
      </c>
      <c r="L47" s="31">
        <v>4</v>
      </c>
      <c r="M47" s="30" t="s">
        <v>38</v>
      </c>
      <c r="N47" s="31">
        <v>2</v>
      </c>
      <c r="O47" s="54"/>
    </row>
    <row r="48" spans="1:15" s="18" customFormat="1" ht="50.25" customHeight="1">
      <c r="A48" s="58">
        <v>21</v>
      </c>
      <c r="B48" s="61" t="s">
        <v>57</v>
      </c>
      <c r="C48" s="64" t="s">
        <v>43</v>
      </c>
      <c r="D48" s="58"/>
      <c r="E48" s="58" t="s">
        <v>32</v>
      </c>
      <c r="F48" s="6" t="s">
        <v>86</v>
      </c>
      <c r="G48" s="55">
        <v>46031</v>
      </c>
      <c r="H48" s="55">
        <v>46031</v>
      </c>
      <c r="I48" s="55" t="s">
        <v>29</v>
      </c>
      <c r="J48" s="49" t="s">
        <v>46</v>
      </c>
      <c r="K48" s="12" t="s">
        <v>37</v>
      </c>
      <c r="L48" s="34">
        <v>1</v>
      </c>
      <c r="M48" s="40" t="s">
        <v>38</v>
      </c>
      <c r="N48" s="43">
        <v>0.5</v>
      </c>
      <c r="O48" s="52"/>
    </row>
    <row r="49" spans="1:15" s="18" customFormat="1" ht="45.75" customHeight="1">
      <c r="A49" s="59"/>
      <c r="B49" s="62"/>
      <c r="C49" s="65"/>
      <c r="D49" s="59"/>
      <c r="E49" s="59"/>
      <c r="F49" s="6" t="s">
        <v>87</v>
      </c>
      <c r="G49" s="56"/>
      <c r="H49" s="56"/>
      <c r="I49" s="56"/>
      <c r="J49" s="50"/>
      <c r="K49" s="12" t="s">
        <v>45</v>
      </c>
      <c r="L49" s="34">
        <v>1</v>
      </c>
      <c r="M49" s="40" t="s">
        <v>38</v>
      </c>
      <c r="N49" s="43">
        <v>0.5</v>
      </c>
      <c r="O49" s="53"/>
    </row>
    <row r="50" spans="1:15" s="18" customFormat="1" ht="45.75" customHeight="1">
      <c r="A50" s="60"/>
      <c r="B50" s="63"/>
      <c r="C50" s="66"/>
      <c r="D50" s="60"/>
      <c r="E50" s="60"/>
      <c r="F50" s="6"/>
      <c r="G50" s="57"/>
      <c r="H50" s="57"/>
      <c r="I50" s="57"/>
      <c r="J50" s="51"/>
      <c r="K50" s="30" t="s">
        <v>49</v>
      </c>
      <c r="L50" s="31">
        <v>2</v>
      </c>
      <c r="M50" s="30" t="s">
        <v>38</v>
      </c>
      <c r="N50" s="31">
        <v>1</v>
      </c>
      <c r="O50" s="54"/>
    </row>
    <row r="51" spans="1:15" s="18" customFormat="1" ht="44.25" customHeight="1">
      <c r="A51" s="6">
        <v>22</v>
      </c>
      <c r="B51" s="20" t="s">
        <v>36</v>
      </c>
      <c r="C51" s="21" t="s">
        <v>25</v>
      </c>
      <c r="D51" s="6"/>
      <c r="E51" s="6" t="s">
        <v>32</v>
      </c>
      <c r="F51" s="6" t="s">
        <v>48</v>
      </c>
      <c r="G51" s="7">
        <v>46032</v>
      </c>
      <c r="H51" s="7">
        <v>46032</v>
      </c>
      <c r="I51" s="7" t="s">
        <v>29</v>
      </c>
      <c r="J51" s="19" t="s">
        <v>46</v>
      </c>
      <c r="K51" s="12" t="s">
        <v>37</v>
      </c>
      <c r="L51" s="34">
        <v>2</v>
      </c>
      <c r="M51" s="12" t="s">
        <v>39</v>
      </c>
      <c r="N51" s="11">
        <v>0.5</v>
      </c>
      <c r="O51" s="11"/>
    </row>
    <row r="52" spans="1:15" s="18" customFormat="1" ht="44.25" customHeight="1">
      <c r="A52" s="58">
        <v>23</v>
      </c>
      <c r="B52" s="61" t="s">
        <v>36</v>
      </c>
      <c r="C52" s="64" t="s">
        <v>88</v>
      </c>
      <c r="D52" s="58"/>
      <c r="E52" s="58" t="s">
        <v>32</v>
      </c>
      <c r="F52" s="6" t="s">
        <v>91</v>
      </c>
      <c r="G52" s="55">
        <v>46034</v>
      </c>
      <c r="H52" s="55">
        <v>46068</v>
      </c>
      <c r="I52" s="55"/>
      <c r="J52" s="49" t="s">
        <v>46</v>
      </c>
      <c r="K52" s="12" t="s">
        <v>37</v>
      </c>
      <c r="L52" s="34">
        <v>2</v>
      </c>
      <c r="M52" s="45" t="s">
        <v>39</v>
      </c>
      <c r="N52" s="43">
        <v>2</v>
      </c>
      <c r="O52" s="52"/>
    </row>
    <row r="53" spans="1:15" s="18" customFormat="1" ht="44.25" customHeight="1">
      <c r="A53" s="59"/>
      <c r="B53" s="62"/>
      <c r="C53" s="65"/>
      <c r="D53" s="59"/>
      <c r="E53" s="59"/>
      <c r="F53" s="6" t="s">
        <v>90</v>
      </c>
      <c r="G53" s="56"/>
      <c r="H53" s="56"/>
      <c r="I53" s="56"/>
      <c r="J53" s="50"/>
      <c r="K53" s="12" t="s">
        <v>45</v>
      </c>
      <c r="L53" s="34">
        <v>2</v>
      </c>
      <c r="M53" s="45" t="s">
        <v>39</v>
      </c>
      <c r="N53" s="43">
        <v>2</v>
      </c>
      <c r="O53" s="53"/>
    </row>
    <row r="54" spans="1:15" s="18" customFormat="1" ht="44.25" customHeight="1">
      <c r="A54" s="60"/>
      <c r="B54" s="63"/>
      <c r="C54" s="66"/>
      <c r="D54" s="60"/>
      <c r="E54" s="60"/>
      <c r="F54" s="6"/>
      <c r="G54" s="57"/>
      <c r="H54" s="57"/>
      <c r="I54" s="57"/>
      <c r="J54" s="51"/>
      <c r="K54" s="30" t="s">
        <v>49</v>
      </c>
      <c r="L54" s="31">
        <v>4</v>
      </c>
      <c r="M54" s="4" t="s">
        <v>39</v>
      </c>
      <c r="N54" s="31">
        <v>4</v>
      </c>
      <c r="O54" s="54"/>
    </row>
    <row r="55" spans="1:15" s="18" customFormat="1" ht="44.25" customHeight="1">
      <c r="A55" s="58">
        <v>24</v>
      </c>
      <c r="B55" s="61" t="s">
        <v>36</v>
      </c>
      <c r="C55" s="61" t="s">
        <v>89</v>
      </c>
      <c r="D55" s="58"/>
      <c r="E55" s="58" t="s">
        <v>32</v>
      </c>
      <c r="F55" s="6" t="s">
        <v>91</v>
      </c>
      <c r="G55" s="55">
        <v>46034</v>
      </c>
      <c r="H55" s="55">
        <v>46068</v>
      </c>
      <c r="I55" s="55" t="s">
        <v>29</v>
      </c>
      <c r="J55" s="49" t="s">
        <v>46</v>
      </c>
      <c r="K55" s="12" t="s">
        <v>37</v>
      </c>
      <c r="L55" s="34">
        <v>2</v>
      </c>
      <c r="M55" s="45" t="s">
        <v>39</v>
      </c>
      <c r="N55" s="43">
        <v>15</v>
      </c>
      <c r="O55" s="52"/>
    </row>
    <row r="56" spans="1:15" s="18" customFormat="1" ht="56.25" customHeight="1">
      <c r="A56" s="59"/>
      <c r="B56" s="62"/>
      <c r="C56" s="62"/>
      <c r="D56" s="59"/>
      <c r="E56" s="59"/>
      <c r="F56" s="6" t="s">
        <v>90</v>
      </c>
      <c r="G56" s="56"/>
      <c r="H56" s="56"/>
      <c r="I56" s="56"/>
      <c r="J56" s="50"/>
      <c r="K56" s="12" t="s">
        <v>45</v>
      </c>
      <c r="L56" s="34">
        <v>2</v>
      </c>
      <c r="M56" s="45" t="s">
        <v>39</v>
      </c>
      <c r="N56" s="46">
        <v>15</v>
      </c>
      <c r="O56" s="53"/>
    </row>
    <row r="57" spans="1:15" s="18" customFormat="1" ht="48.75" customHeight="1">
      <c r="A57" s="60"/>
      <c r="B57" s="63"/>
      <c r="C57" s="63"/>
      <c r="D57" s="60"/>
      <c r="E57" s="60"/>
      <c r="F57" s="6"/>
      <c r="G57" s="57"/>
      <c r="H57" s="57"/>
      <c r="I57" s="57"/>
      <c r="J57" s="51"/>
      <c r="K57" s="30" t="s">
        <v>49</v>
      </c>
      <c r="L57" s="31">
        <v>4</v>
      </c>
      <c r="M57" s="4" t="s">
        <v>39</v>
      </c>
      <c r="N57" s="35">
        <v>30</v>
      </c>
      <c r="O57" s="54"/>
    </row>
    <row r="58" spans="1:15" s="18" customFormat="1" ht="44.25" customHeight="1">
      <c r="A58" s="11">
        <v>25</v>
      </c>
      <c r="B58" s="20" t="s">
        <v>36</v>
      </c>
      <c r="C58" s="32" t="s">
        <v>70</v>
      </c>
      <c r="D58" s="6"/>
      <c r="E58" s="6" t="s">
        <v>32</v>
      </c>
      <c r="F58" s="6" t="s">
        <v>32</v>
      </c>
      <c r="G58" s="7">
        <v>46070</v>
      </c>
      <c r="H58" s="7">
        <v>46070</v>
      </c>
      <c r="I58" s="7" t="s">
        <v>29</v>
      </c>
      <c r="J58" s="19" t="s">
        <v>46</v>
      </c>
      <c r="K58" s="6" t="s">
        <v>37</v>
      </c>
      <c r="L58" s="11">
        <v>1</v>
      </c>
      <c r="M58" s="6" t="s">
        <v>41</v>
      </c>
      <c r="N58" s="16">
        <v>0.1</v>
      </c>
      <c r="O58" s="11"/>
    </row>
    <row r="59" spans="1:15" ht="45" customHeight="1">
      <c r="M59" s="27" t="s">
        <v>49</v>
      </c>
      <c r="N59" s="28">
        <f>SUM(N7,N8,N14,N20,N26,N27,N28,N29,N30,N31,N34,N35,N38,N39,N40,N41,N42,N43,N44,N47,N51,N54,N57,N58)</f>
        <v>135.1</v>
      </c>
    </row>
  </sheetData>
  <autoFilter ref="A1:R59"/>
  <mergeCells count="100">
    <mergeCell ref="A2:A7"/>
    <mergeCell ref="C2:C7"/>
    <mergeCell ref="D2:D7"/>
    <mergeCell ref="E2:E7"/>
    <mergeCell ref="G2:G7"/>
    <mergeCell ref="H2:H7"/>
    <mergeCell ref="I2:I7"/>
    <mergeCell ref="J2:J7"/>
    <mergeCell ref="B2:B7"/>
    <mergeCell ref="A9:A14"/>
    <mergeCell ref="B9:B14"/>
    <mergeCell ref="C9:C14"/>
    <mergeCell ref="D9:D14"/>
    <mergeCell ref="E9:E14"/>
    <mergeCell ref="E45:E47"/>
    <mergeCell ref="G9:G14"/>
    <mergeCell ref="H9:H14"/>
    <mergeCell ref="I9:I14"/>
    <mergeCell ref="J9:J14"/>
    <mergeCell ref="O52:O54"/>
    <mergeCell ref="J45:J47"/>
    <mergeCell ref="I45:I47"/>
    <mergeCell ref="H45:H47"/>
    <mergeCell ref="G45:G47"/>
    <mergeCell ref="E52:E54"/>
    <mergeCell ref="G52:G54"/>
    <mergeCell ref="H52:H54"/>
    <mergeCell ref="I52:I54"/>
    <mergeCell ref="J52:J54"/>
    <mergeCell ref="A55:A57"/>
    <mergeCell ref="A52:A54"/>
    <mergeCell ref="B52:B54"/>
    <mergeCell ref="C52:C54"/>
    <mergeCell ref="D52:D54"/>
    <mergeCell ref="G55:G57"/>
    <mergeCell ref="E55:E57"/>
    <mergeCell ref="D55:D57"/>
    <mergeCell ref="C55:C57"/>
    <mergeCell ref="B55:B57"/>
    <mergeCell ref="A15:A20"/>
    <mergeCell ref="B15:B20"/>
    <mergeCell ref="C15:C20"/>
    <mergeCell ref="D15:D20"/>
    <mergeCell ref="E15:E20"/>
    <mergeCell ref="G15:G20"/>
    <mergeCell ref="H15:H20"/>
    <mergeCell ref="I15:I20"/>
    <mergeCell ref="J15:J20"/>
    <mergeCell ref="O9:O14"/>
    <mergeCell ref="O15:O20"/>
    <mergeCell ref="A21:A26"/>
    <mergeCell ref="B21:B26"/>
    <mergeCell ref="C21:C26"/>
    <mergeCell ref="D21:D26"/>
    <mergeCell ref="E21:E26"/>
    <mergeCell ref="G21:G26"/>
    <mergeCell ref="H21:H26"/>
    <mergeCell ref="I21:I26"/>
    <mergeCell ref="J21:J26"/>
    <mergeCell ref="J32:J34"/>
    <mergeCell ref="I32:I34"/>
    <mergeCell ref="H32:H34"/>
    <mergeCell ref="G32:G34"/>
    <mergeCell ref="E32:E34"/>
    <mergeCell ref="D32:D34"/>
    <mergeCell ref="C32:C34"/>
    <mergeCell ref="B32:B34"/>
    <mergeCell ref="A32:A34"/>
    <mergeCell ref="D45:D47"/>
    <mergeCell ref="C45:C47"/>
    <mergeCell ref="B45:B47"/>
    <mergeCell ref="A45:A47"/>
    <mergeCell ref="O2:O8"/>
    <mergeCell ref="O21:O26"/>
    <mergeCell ref="O32:O34"/>
    <mergeCell ref="J36:J38"/>
    <mergeCell ref="I36:I38"/>
    <mergeCell ref="O36:O38"/>
    <mergeCell ref="H36:H38"/>
    <mergeCell ref="G36:G38"/>
    <mergeCell ref="E36:E38"/>
    <mergeCell ref="D36:D38"/>
    <mergeCell ref="C36:C38"/>
    <mergeCell ref="B36:B38"/>
    <mergeCell ref="J55:J57"/>
    <mergeCell ref="O55:O57"/>
    <mergeCell ref="I55:I57"/>
    <mergeCell ref="H55:H57"/>
    <mergeCell ref="A36:A38"/>
    <mergeCell ref="O45:O47"/>
    <mergeCell ref="A48:A50"/>
    <mergeCell ref="B48:B50"/>
    <mergeCell ref="C48:C50"/>
    <mergeCell ref="D48:D50"/>
    <mergeCell ref="E48:E50"/>
    <mergeCell ref="G48:G50"/>
    <mergeCell ref="H48:H50"/>
    <mergeCell ref="I48:I50"/>
    <mergeCell ref="J48:J50"/>
    <mergeCell ref="O48:O50"/>
  </mergeCells>
  <phoneticPr fontId="5" type="noConversion"/>
  <conditionalFormatting sqref="J1:N1 N2:N5">
    <cfRule type="cellIs" dxfId="3" priority="1" operator="equal">
      <formula>"Cancel"</formula>
    </cfRule>
    <cfRule type="cellIs" dxfId="2" priority="2" operator="equal">
      <formula>"Delay"</formula>
    </cfRule>
    <cfRule type="cellIs" dxfId="1" priority="3" operator="equal">
      <formula>"Ongoing"</formula>
    </cfRule>
    <cfRule type="cellIs" dxfId="0" priority="4" operator="equal">
      <formula>"Close"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manohar-g</dc:creator>
  <cp:lastModifiedBy>manohar-g</cp:lastModifiedBy>
  <dcterms:created xsi:type="dcterms:W3CDTF">2025-09-08T03:52:36Z</dcterms:created>
  <dcterms:modified xsi:type="dcterms:W3CDTF">2025-09-15T08:33:21Z</dcterms:modified>
</cp:coreProperties>
</file>