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FS CMT\01Preparation\"/>
    </mc:Choice>
  </mc:AlternateContent>
  <bookViews>
    <workbookView xWindow="0" yWindow="0" windowWidth="28770" windowHeight="12360"/>
  </bookViews>
  <sheets>
    <sheet name="Sheet1" sheetId="1" r:id="rId1"/>
  </sheets>
  <definedNames>
    <definedName name="_xlnm._FilterDatabase" localSheetId="0" hidden="1">Sheet1!$A$1:$R$49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9" i="1" l="1"/>
  <c r="Q4" i="1" l="1"/>
</calcChain>
</file>

<file path=xl/sharedStrings.xml><?xml version="1.0" encoding="utf-8"?>
<sst xmlns="http://schemas.openxmlformats.org/spreadsheetml/2006/main" count="276" uniqueCount="108">
  <si>
    <t>序号
No</t>
    <phoneticPr fontId="1" type="noConversion"/>
  </si>
  <si>
    <t>阶段
Phase</t>
    <phoneticPr fontId="0" type="noConversion"/>
  </si>
  <si>
    <t>工作事项
Item</t>
    <phoneticPr fontId="1" type="noConversion"/>
  </si>
  <si>
    <t>具体内容
Detailed content</t>
    <phoneticPr fontId="1" type="noConversion"/>
  </si>
  <si>
    <t>负责人
Owner</t>
    <phoneticPr fontId="1" type="noConversion"/>
  </si>
  <si>
    <t>参与人
Participants</t>
    <phoneticPr fontId="1" type="noConversion"/>
  </si>
  <si>
    <t>预计开始
日期
Plan Start</t>
    <phoneticPr fontId="1" type="noConversion"/>
  </si>
  <si>
    <t>预计完成
日期
Due day</t>
    <phoneticPr fontId="1" type="noConversion"/>
  </si>
  <si>
    <t>实际完成
日期
Finish data</t>
    <phoneticPr fontId="1" type="noConversion"/>
  </si>
  <si>
    <t>状态
Status</t>
    <phoneticPr fontId="1" type="noConversion"/>
  </si>
  <si>
    <t>涉及部门
Related department</t>
    <phoneticPr fontId="1" type="noConversion"/>
  </si>
  <si>
    <t>涉及人数
Related qty</t>
    <phoneticPr fontId="1" type="noConversion"/>
  </si>
  <si>
    <t>投入说明
Input description</t>
    <phoneticPr fontId="1" type="noConversion"/>
  </si>
  <si>
    <t>投入人天
Input MDs</t>
    <phoneticPr fontId="1" type="noConversion"/>
  </si>
  <si>
    <t>备注 Remark</t>
    <phoneticPr fontId="1" type="noConversion"/>
  </si>
  <si>
    <t>高阶需求调研
High-level demands study</t>
  </si>
  <si>
    <t>项目立项
Project initiation</t>
    <phoneticPr fontId="0" type="noConversion"/>
  </si>
  <si>
    <t>项目启动
Kick-off</t>
  </si>
  <si>
    <t>功能开发
Function development</t>
  </si>
  <si>
    <t>单元测试-IT
Unit test-IT</t>
    <phoneticPr fontId="0" type="noConversion"/>
  </si>
  <si>
    <t>单元测试-业务
Unit test-Biz</t>
    <phoneticPr fontId="0" type="noConversion"/>
  </si>
  <si>
    <t>集成测试
System integration test</t>
  </si>
  <si>
    <t>用户接受测试
User acceptance test</t>
  </si>
  <si>
    <t>上线准备情况汇报
Go-live Readiness Review</t>
    <phoneticPr fontId="0" type="noConversion"/>
  </si>
  <si>
    <t>上线
Go-live</t>
    <phoneticPr fontId="0" type="noConversion"/>
  </si>
  <si>
    <t>沟通梳理高阶需求
Communicate and output high-level requirements</t>
  </si>
  <si>
    <t>项目立项-资料填写
Project initiation-data fill in</t>
    <phoneticPr fontId="0" type="noConversion"/>
  </si>
  <si>
    <t>Project Kick Off meeting hosted for all reated departments</t>
  </si>
  <si>
    <t xml:space="preserve"> </t>
  </si>
  <si>
    <t>Output IT function specification</t>
  </si>
  <si>
    <t>准备
Preparation</t>
    <phoneticPr fontId="0" type="noConversion"/>
  </si>
  <si>
    <t>Manohar-G</t>
  </si>
  <si>
    <t>蓝图
Blueprint</t>
  </si>
  <si>
    <t>实现
Realization</t>
    <phoneticPr fontId="0" type="noConversion"/>
  </si>
  <si>
    <t>实现
Realization</t>
  </si>
  <si>
    <t>上线后支持
Post-production Support</t>
    <phoneticPr fontId="0" type="noConversion"/>
  </si>
  <si>
    <t>IT</t>
  </si>
  <si>
    <t>Around 4 hours per day</t>
  </si>
  <si>
    <t>Around 2 hours per day</t>
  </si>
  <si>
    <t>Around 3 hours per day</t>
  </si>
  <si>
    <t>Around 1 hours per day</t>
  </si>
  <si>
    <t>IT功能清单输出             
    IT FunctionList Output</t>
  </si>
  <si>
    <t>上线切换                  
   Move To Production</t>
  </si>
  <si>
    <t>Around 8 hours per day</t>
  </si>
  <si>
    <t>Planning</t>
  </si>
  <si>
    <t>NOT STARTED</t>
  </si>
  <si>
    <t xml:space="preserve">Naga </t>
  </si>
  <si>
    <t xml:space="preserve">Manohar-G , Naga </t>
  </si>
  <si>
    <t xml:space="preserve">Total </t>
  </si>
  <si>
    <t>业务蓝图设计
Business blueprint design 
&amp;
 IT总规划输出
IT Master Plan</t>
  </si>
  <si>
    <t xml:space="preserve">Based on the business(FG,Business) blueprint, design IT solutions. </t>
  </si>
  <si>
    <t>蓝图
Blueprint</t>
    <phoneticPr fontId="2" type="noConversion"/>
  </si>
  <si>
    <t>Manohar</t>
  </si>
  <si>
    <t>蓝图到上线前准备
Blueprint to Final Prep.</t>
    <phoneticPr fontId="1" type="noConversion"/>
  </si>
  <si>
    <t>主数据准备
Master data preparation</t>
    <phoneticPr fontId="1" type="noConversion"/>
  </si>
  <si>
    <t xml:space="preserve">Manohar-g
</t>
  </si>
  <si>
    <t>上线前准备
Final Preparation</t>
    <phoneticPr fontId="1" type="noConversion"/>
  </si>
  <si>
    <t>压力测试
Pressure test</t>
  </si>
  <si>
    <t>回归测试
Regression test</t>
    <phoneticPr fontId="1" type="noConversion"/>
  </si>
  <si>
    <t>权限设计
Rights design</t>
    <phoneticPr fontId="1" type="noConversion"/>
  </si>
  <si>
    <t>权限测试
Rights test</t>
    <phoneticPr fontId="1" type="noConversion"/>
  </si>
  <si>
    <t>Nagarjuna</t>
  </si>
  <si>
    <t>权限分配
Rights assignment</t>
    <phoneticPr fontId="1" type="noConversion"/>
  </si>
  <si>
    <t>Around  1 hours per day</t>
  </si>
  <si>
    <t>Around 0.5 hours per day</t>
  </si>
  <si>
    <t>蓝图汇报
Blueprint review</t>
    <phoneticPr fontId="5" type="noConversion"/>
  </si>
  <si>
    <t>针对蓝图设计成果进行汇报，确认蓝图设计方案 
Report and finalize blueprint solution</t>
    <phoneticPr fontId="5" type="noConversion"/>
  </si>
  <si>
    <t>关键用户培训                                      
 Key user training</t>
    <phoneticPr fontId="5" type="noConversion"/>
  </si>
  <si>
    <t>Manohar-g</t>
    <phoneticPr fontId="5" type="noConversion"/>
  </si>
  <si>
    <t>项目退出
Project exit</t>
    <phoneticPr fontId="5" type="noConversion"/>
  </si>
  <si>
    <t>IT</t>
    <phoneticPr fontId="5" type="noConversion"/>
  </si>
  <si>
    <t>Planning</t>
    <phoneticPr fontId="5" type="noConversion"/>
  </si>
  <si>
    <t>PC</t>
    <phoneticPr fontId="5" type="noConversion"/>
  </si>
  <si>
    <t>Warehouse</t>
    <phoneticPr fontId="5" type="noConversion"/>
  </si>
  <si>
    <t xml:space="preserve">Purchase </t>
    <phoneticPr fontId="5" type="noConversion"/>
  </si>
  <si>
    <t xml:space="preserve">Purchase </t>
    <phoneticPr fontId="5" type="noConversion"/>
  </si>
  <si>
    <t>准备
Preparation</t>
    <phoneticPr fontId="0" type="noConversion"/>
  </si>
  <si>
    <t>Manohar-G</t>
    <phoneticPr fontId="5" type="noConversion"/>
  </si>
  <si>
    <t>Manohar-G</t>
    <phoneticPr fontId="5" type="noConversion"/>
  </si>
  <si>
    <t>Rokhi</t>
    <phoneticPr fontId="5" type="noConversion"/>
  </si>
  <si>
    <t>Manohar -g</t>
    <phoneticPr fontId="5" type="noConversion"/>
  </si>
  <si>
    <t>Rokhi , Naga</t>
    <phoneticPr fontId="5" type="noConversion"/>
  </si>
  <si>
    <t>Manohar-g , Naga</t>
    <phoneticPr fontId="5" type="noConversion"/>
  </si>
  <si>
    <t>Manohar-G, syam, Chandra</t>
    <phoneticPr fontId="5" type="noConversion"/>
  </si>
  <si>
    <t>Naga</t>
    <phoneticPr fontId="5" type="noConversion"/>
  </si>
  <si>
    <t>Manohar-G</t>
    <phoneticPr fontId="5" type="noConversion"/>
  </si>
  <si>
    <t xml:space="preserve">Naga </t>
    <phoneticPr fontId="5" type="noConversion"/>
  </si>
  <si>
    <t>使用情况追踪  System utilization tracking</t>
    <phoneticPr fontId="5" type="noConversion"/>
  </si>
  <si>
    <t>上线后问题追踪处理
PPS issues tracking and handling</t>
    <phoneticPr fontId="5" type="noConversion"/>
  </si>
  <si>
    <t xml:space="preserve">Rokhi , Naga </t>
    <phoneticPr fontId="5" type="noConversion"/>
  </si>
  <si>
    <t>Manohar-G , Syam</t>
    <phoneticPr fontId="5" type="noConversion"/>
  </si>
  <si>
    <t>Siva</t>
    <phoneticPr fontId="5" type="noConversion"/>
  </si>
  <si>
    <t>Naga , Rokhi</t>
    <phoneticPr fontId="5" type="noConversion"/>
  </si>
  <si>
    <t>Derek</t>
    <phoneticPr fontId="5" type="noConversion"/>
  </si>
  <si>
    <t>balaji-v</t>
    <phoneticPr fontId="5" type="noConversion"/>
  </si>
  <si>
    <t>Manohar-G , Chandra , Syam</t>
    <phoneticPr fontId="5" type="noConversion"/>
  </si>
  <si>
    <t>Manohar-G , Chandra , Syam</t>
    <phoneticPr fontId="5" type="noConversion"/>
  </si>
  <si>
    <t>Manohar-g</t>
    <phoneticPr fontId="5" type="noConversion"/>
  </si>
  <si>
    <t xml:space="preserve">Rokhi , Naga </t>
  </si>
  <si>
    <t>Around  1.3 hours per day</t>
  </si>
  <si>
    <t xml:space="preserve">Total Business Mandays </t>
  </si>
  <si>
    <t xml:space="preserve">          </t>
  </si>
  <si>
    <t xml:space="preserve">    </t>
  </si>
  <si>
    <t xml:space="preserve">             </t>
  </si>
  <si>
    <t xml:space="preserve">         </t>
  </si>
  <si>
    <t xml:space="preserve">CLOSE </t>
  </si>
  <si>
    <t>Cancel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</si>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</sst>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4]General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 tint="4.9989318521683403E-2"/>
      <name val="微软雅黑"/>
      <family val="2"/>
      <charset val="134"/>
    </font>
    <font>
      <sz val="9"/>
      <name val="Calibri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0"/>
      <color theme="1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1A386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66">
    <xf numFmtId="0" fontId="0" fillId="0" borderId="0" xfId="0"/>
    <xf numFmtId="164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4" fontId="3" fillId="0" borderId="1" xfId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1" xfId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164" fontId="6" fillId="3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" fontId="7" fillId="0" borderId="0" xfId="0" applyNumberFormat="1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0" xfId="0" applyFont="1"/>
    <xf numFmtId="164" fontId="9" fillId="7" borderId="1" xfId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/>
    </xf>
    <xf numFmtId="164" fontId="3" fillId="0" borderId="1" xfId="1" applyFont="1" applyFill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64" fontId="3" fillId="4" borderId="1" xfId="1" applyFont="1" applyFill="1" applyBorder="1" applyAlignment="1">
      <alignment horizontal="center" vertical="center"/>
    </xf>
    <xf numFmtId="164" fontId="3" fillId="4" borderId="1" xfId="1" applyFont="1" applyFill="1" applyBorder="1" applyAlignment="1">
      <alignment horizontal="center" vertical="center" wrapText="1"/>
    </xf>
    <xf numFmtId="0" fontId="3" fillId="4" borderId="1" xfId="1" applyNumberFormat="1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0" borderId="1" xfId="1" applyFont="1" applyBorder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164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 vertical="center" wrapText="1"/>
    </xf>
    <xf numFmtId="164" fontId="3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164" fontId="3" fillId="0" borderId="4" xfId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常规 7" xfId="1"/>
  </cellStyles>
  <dxfs count="4"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tabSelected="1" topLeftCell="A37" zoomScale="70" zoomScaleNormal="70" workbookViewId="0">
      <selection activeCell="H44" sqref="H44:H45"/>
    </sheetView>
  </sheetViews>
  <sheetFormatPr defaultColWidth="8.85546875" defaultRowHeight="16.5"/>
  <cols>
    <col min="1" max="1" width="6.42578125" style="18" customWidth="1"/>
    <col min="2" max="2" width="26.140625" style="18" customWidth="1"/>
    <col min="3" max="3" width="37.28515625" style="18" customWidth="1"/>
    <col min="4" max="4" width="48.7109375" style="18" customWidth="1"/>
    <col min="5" max="5" width="15.85546875" style="18" customWidth="1"/>
    <col min="6" max="6" width="22.5703125" style="23" customWidth="1"/>
    <col min="7" max="7" width="15.7109375" style="18" customWidth="1"/>
    <col min="8" max="8" width="15.5703125" style="18" customWidth="1"/>
    <col min="9" max="9" width="21.5703125" style="18" customWidth="1"/>
    <col min="10" max="10" width="16.28515625" style="18" customWidth="1"/>
    <col min="11" max="11" width="16.85546875" style="18" customWidth="1"/>
    <col min="12" max="12" width="12" style="18" customWidth="1"/>
    <col min="13" max="13" width="20" style="18" customWidth="1"/>
    <col min="14" max="14" width="15.5703125" style="18" customWidth="1"/>
    <col min="15" max="15" width="14.28515625" style="18" customWidth="1"/>
    <col min="16" max="16" width="15.5703125" style="18" customWidth="1"/>
    <col min="17" max="17" width="44" style="18" customWidth="1"/>
    <col min="18" max="16384" width="8.85546875" style="18"/>
  </cols>
  <sheetData>
    <row r="1" spans="1:17" s="12" customFormat="1" ht="4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" t="s">
        <v>14</v>
      </c>
    </row>
    <row r="2" spans="1:17" s="12" customFormat="1" ht="33.6" customHeight="1">
      <c r="A2" s="53">
        <v>1</v>
      </c>
      <c r="B2" s="53" t="s">
        <v>30</v>
      </c>
      <c r="C2" s="54" t="s">
        <v>15</v>
      </c>
      <c r="D2" s="54" t="s">
        <v>25</v>
      </c>
      <c r="E2" s="53" t="s">
        <v>31</v>
      </c>
      <c r="F2" s="21" t="s">
        <v>96</v>
      </c>
      <c r="G2" s="51">
        <v>45908</v>
      </c>
      <c r="H2" s="51">
        <v>45916</v>
      </c>
      <c r="I2" s="51">
        <v>45916</v>
      </c>
      <c r="J2" s="52" t="s">
        <v>105</v>
      </c>
      <c r="K2" s="5" t="s">
        <v>70</v>
      </c>
      <c r="L2" s="22">
        <v>3</v>
      </c>
      <c r="M2" s="5" t="s">
        <v>40</v>
      </c>
      <c r="N2" s="29">
        <v>3</v>
      </c>
      <c r="O2" s="62" t="s">
        <v>28</v>
      </c>
    </row>
    <row r="3" spans="1:17" s="12" customFormat="1" ht="33.6" customHeight="1">
      <c r="A3" s="53"/>
      <c r="B3" s="53"/>
      <c r="C3" s="54"/>
      <c r="D3" s="54"/>
      <c r="E3" s="53"/>
      <c r="F3" s="21" t="s">
        <v>98</v>
      </c>
      <c r="G3" s="51"/>
      <c r="H3" s="51"/>
      <c r="I3" s="51"/>
      <c r="J3" s="52"/>
      <c r="K3" s="5" t="s">
        <v>71</v>
      </c>
      <c r="L3" s="22">
        <v>2</v>
      </c>
      <c r="M3" s="5" t="s">
        <v>40</v>
      </c>
      <c r="N3" s="29">
        <v>2</v>
      </c>
      <c r="O3" s="63"/>
      <c r="Q3" s="27" t="s">
        <v>100</v>
      </c>
    </row>
    <row r="4" spans="1:17" s="12" customFormat="1" ht="33.6" customHeight="1">
      <c r="A4" s="53"/>
      <c r="B4" s="53"/>
      <c r="C4" s="54"/>
      <c r="D4" s="54"/>
      <c r="E4" s="53"/>
      <c r="F4" s="21" t="s">
        <v>91</v>
      </c>
      <c r="G4" s="51"/>
      <c r="H4" s="51"/>
      <c r="I4" s="51"/>
      <c r="J4" s="52"/>
      <c r="K4" s="5" t="s">
        <v>72</v>
      </c>
      <c r="L4" s="22">
        <v>1</v>
      </c>
      <c r="M4" s="5" t="s">
        <v>40</v>
      </c>
      <c r="N4" s="29">
        <v>1</v>
      </c>
      <c r="O4" s="63"/>
      <c r="Q4" s="28">
        <f>SUM(N3,N4,N5,N6,N9,N10,N11,N12,N14,N15,N16,N17,N19,N20,N21,N22,N27,N29,N32,N40,N42,N45,N47)</f>
        <v>40.125</v>
      </c>
    </row>
    <row r="5" spans="1:17" s="12" customFormat="1" ht="33.6" customHeight="1">
      <c r="A5" s="53"/>
      <c r="B5" s="53"/>
      <c r="C5" s="54"/>
      <c r="D5" s="54"/>
      <c r="E5" s="53"/>
      <c r="F5" s="21" t="s">
        <v>94</v>
      </c>
      <c r="G5" s="51"/>
      <c r="H5" s="51"/>
      <c r="I5" s="51"/>
      <c r="J5" s="52"/>
      <c r="K5" s="5" t="s">
        <v>73</v>
      </c>
      <c r="L5" s="22">
        <v>1</v>
      </c>
      <c r="M5" s="5" t="s">
        <v>40</v>
      </c>
      <c r="N5" s="29">
        <v>1</v>
      </c>
      <c r="O5" s="63"/>
    </row>
    <row r="6" spans="1:17" s="12" customFormat="1" ht="33.6" customHeight="1">
      <c r="A6" s="53"/>
      <c r="B6" s="53"/>
      <c r="C6" s="54"/>
      <c r="D6" s="54"/>
      <c r="E6" s="53"/>
      <c r="F6" s="21" t="s">
        <v>93</v>
      </c>
      <c r="G6" s="51"/>
      <c r="H6" s="51"/>
      <c r="I6" s="51"/>
      <c r="J6" s="52"/>
      <c r="K6" s="5" t="s">
        <v>74</v>
      </c>
      <c r="L6" s="22">
        <v>1</v>
      </c>
      <c r="M6" s="5" t="s">
        <v>40</v>
      </c>
      <c r="N6" s="29">
        <v>1</v>
      </c>
      <c r="O6" s="64"/>
      <c r="Q6" s="12" t="s">
        <v>101</v>
      </c>
    </row>
    <row r="7" spans="1:17" s="12" customFormat="1" ht="46.5" customHeight="1">
      <c r="A7" s="5">
        <v>2</v>
      </c>
      <c r="B7" s="3" t="s">
        <v>76</v>
      </c>
      <c r="C7" s="4" t="s">
        <v>16</v>
      </c>
      <c r="D7" s="4" t="s">
        <v>26</v>
      </c>
      <c r="E7" s="5" t="s">
        <v>31</v>
      </c>
      <c r="F7" s="5" t="s">
        <v>31</v>
      </c>
      <c r="G7" s="6">
        <v>45909</v>
      </c>
      <c r="H7" s="6">
        <v>45911</v>
      </c>
      <c r="I7" s="40">
        <v>45917</v>
      </c>
      <c r="J7" s="36" t="s">
        <v>105</v>
      </c>
      <c r="K7" s="21" t="s">
        <v>36</v>
      </c>
      <c r="L7" s="21">
        <v>1</v>
      </c>
      <c r="M7" s="21" t="s">
        <v>37</v>
      </c>
      <c r="N7" s="21">
        <v>1</v>
      </c>
      <c r="O7" s="35"/>
      <c r="Q7" s="12" t="s">
        <v>102</v>
      </c>
    </row>
    <row r="8" spans="1:17" s="12" customFormat="1" ht="44.25" customHeight="1">
      <c r="A8" s="53">
        <v>3</v>
      </c>
      <c r="B8" s="54" t="s">
        <v>76</v>
      </c>
      <c r="C8" s="55" t="s">
        <v>17</v>
      </c>
      <c r="D8" s="56" t="s">
        <v>27</v>
      </c>
      <c r="E8" s="53" t="s">
        <v>31</v>
      </c>
      <c r="F8" s="21" t="s">
        <v>95</v>
      </c>
      <c r="G8" s="51">
        <v>45917</v>
      </c>
      <c r="H8" s="51">
        <v>45918</v>
      </c>
      <c r="I8" s="51">
        <v>45924</v>
      </c>
      <c r="J8" s="52" t="s">
        <v>105</v>
      </c>
      <c r="K8" s="5" t="s">
        <v>70</v>
      </c>
      <c r="L8" s="22">
        <v>3</v>
      </c>
      <c r="M8" s="25" t="s">
        <v>40</v>
      </c>
      <c r="N8" s="25">
        <v>0.75</v>
      </c>
      <c r="O8" s="58"/>
      <c r="Q8" s="12" t="s">
        <v>104</v>
      </c>
    </row>
    <row r="9" spans="1:17" s="12" customFormat="1" ht="46.5" customHeight="1">
      <c r="A9" s="53"/>
      <c r="B9" s="54"/>
      <c r="C9" s="55"/>
      <c r="D9" s="56"/>
      <c r="E9" s="53"/>
      <c r="F9" s="21" t="s">
        <v>92</v>
      </c>
      <c r="G9" s="51"/>
      <c r="H9" s="51"/>
      <c r="I9" s="51"/>
      <c r="J9" s="52"/>
      <c r="K9" s="5" t="s">
        <v>71</v>
      </c>
      <c r="L9" s="22">
        <v>2</v>
      </c>
      <c r="M9" s="25" t="s">
        <v>40</v>
      </c>
      <c r="N9" s="25">
        <v>0.5</v>
      </c>
      <c r="O9" s="58"/>
      <c r="Q9" s="12" t="s">
        <v>28</v>
      </c>
    </row>
    <row r="10" spans="1:17" s="12" customFormat="1" ht="46.5" customHeight="1">
      <c r="A10" s="53"/>
      <c r="B10" s="54"/>
      <c r="C10" s="55"/>
      <c r="D10" s="56"/>
      <c r="E10" s="53"/>
      <c r="F10" s="21" t="s">
        <v>91</v>
      </c>
      <c r="G10" s="51"/>
      <c r="H10" s="51"/>
      <c r="I10" s="51"/>
      <c r="J10" s="52"/>
      <c r="K10" s="5" t="s">
        <v>72</v>
      </c>
      <c r="L10" s="22">
        <v>1</v>
      </c>
      <c r="M10" s="25" t="s">
        <v>40</v>
      </c>
      <c r="N10" s="25">
        <v>0.25</v>
      </c>
      <c r="O10" s="58"/>
      <c r="Q10" s="12" t="s">
        <v>103</v>
      </c>
    </row>
    <row r="11" spans="1:17" s="12" customFormat="1" ht="46.5" customHeight="1">
      <c r="A11" s="53"/>
      <c r="B11" s="54"/>
      <c r="C11" s="55"/>
      <c r="D11" s="56"/>
      <c r="E11" s="53"/>
      <c r="F11" s="21" t="s">
        <v>94</v>
      </c>
      <c r="G11" s="51"/>
      <c r="H11" s="51"/>
      <c r="I11" s="51"/>
      <c r="J11" s="52"/>
      <c r="K11" s="5" t="s">
        <v>73</v>
      </c>
      <c r="L11" s="22">
        <v>1</v>
      </c>
      <c r="M11" s="25" t="s">
        <v>40</v>
      </c>
      <c r="N11" s="25">
        <v>0.25</v>
      </c>
      <c r="O11" s="58"/>
      <c r="Q11" s="12" t="s">
        <v>28</v>
      </c>
    </row>
    <row r="12" spans="1:17" s="12" customFormat="1" ht="54.75" customHeight="1">
      <c r="A12" s="53"/>
      <c r="B12" s="54"/>
      <c r="C12" s="55"/>
      <c r="D12" s="56"/>
      <c r="E12" s="53"/>
      <c r="F12" s="21" t="s">
        <v>93</v>
      </c>
      <c r="G12" s="51"/>
      <c r="H12" s="51"/>
      <c r="I12" s="51"/>
      <c r="J12" s="52"/>
      <c r="K12" s="5" t="s">
        <v>75</v>
      </c>
      <c r="L12" s="22">
        <v>1</v>
      </c>
      <c r="M12" s="25" t="s">
        <v>40</v>
      </c>
      <c r="N12" s="24">
        <v>0.25</v>
      </c>
      <c r="O12" s="58"/>
    </row>
    <row r="13" spans="1:17" s="12" customFormat="1" ht="44.25" customHeight="1">
      <c r="A13" s="53">
        <v>4</v>
      </c>
      <c r="B13" s="60" t="s">
        <v>51</v>
      </c>
      <c r="C13" s="55" t="s">
        <v>49</v>
      </c>
      <c r="D13" s="53" t="s">
        <v>50</v>
      </c>
      <c r="E13" s="53" t="s">
        <v>52</v>
      </c>
      <c r="F13" s="21" t="s">
        <v>95</v>
      </c>
      <c r="G13" s="51">
        <v>45919</v>
      </c>
      <c r="H13" s="51">
        <v>45919</v>
      </c>
      <c r="I13" s="51">
        <v>45925</v>
      </c>
      <c r="J13" s="52" t="s">
        <v>105</v>
      </c>
      <c r="K13" s="5" t="s">
        <v>70</v>
      </c>
      <c r="L13" s="22">
        <v>3</v>
      </c>
      <c r="M13" s="25" t="s">
        <v>40</v>
      </c>
      <c r="N13" s="24">
        <v>0.375</v>
      </c>
      <c r="O13" s="58"/>
    </row>
    <row r="14" spans="1:17" s="12" customFormat="1" ht="40.5" customHeight="1">
      <c r="A14" s="53"/>
      <c r="B14" s="60"/>
      <c r="C14" s="55"/>
      <c r="D14" s="53"/>
      <c r="E14" s="53"/>
      <c r="F14" s="21" t="s">
        <v>92</v>
      </c>
      <c r="G14" s="51"/>
      <c r="H14" s="51"/>
      <c r="I14" s="51"/>
      <c r="J14" s="52"/>
      <c r="K14" s="5" t="s">
        <v>71</v>
      </c>
      <c r="L14" s="22">
        <v>2</v>
      </c>
      <c r="M14" s="25" t="s">
        <v>40</v>
      </c>
      <c r="N14" s="24">
        <v>0.25</v>
      </c>
      <c r="O14" s="58"/>
    </row>
    <row r="15" spans="1:17" s="12" customFormat="1" ht="45" customHeight="1">
      <c r="A15" s="53"/>
      <c r="B15" s="60"/>
      <c r="C15" s="55"/>
      <c r="D15" s="53"/>
      <c r="E15" s="53"/>
      <c r="F15" s="21" t="s">
        <v>91</v>
      </c>
      <c r="G15" s="51"/>
      <c r="H15" s="51"/>
      <c r="I15" s="51"/>
      <c r="J15" s="52"/>
      <c r="K15" s="5" t="s">
        <v>72</v>
      </c>
      <c r="L15" s="22">
        <v>1</v>
      </c>
      <c r="M15" s="25" t="s">
        <v>40</v>
      </c>
      <c r="N15" s="24">
        <v>0.125</v>
      </c>
      <c r="O15" s="58"/>
    </row>
    <row r="16" spans="1:17" s="12" customFormat="1" ht="35.25" customHeight="1">
      <c r="A16" s="53"/>
      <c r="B16" s="60"/>
      <c r="C16" s="55"/>
      <c r="D16" s="53"/>
      <c r="E16" s="53"/>
      <c r="F16" s="21" t="s">
        <v>94</v>
      </c>
      <c r="G16" s="51"/>
      <c r="H16" s="51"/>
      <c r="I16" s="51"/>
      <c r="J16" s="52"/>
      <c r="K16" s="5" t="s">
        <v>73</v>
      </c>
      <c r="L16" s="22">
        <v>1</v>
      </c>
      <c r="M16" s="25" t="s">
        <v>40</v>
      </c>
      <c r="N16" s="24">
        <v>0.125</v>
      </c>
      <c r="O16" s="58"/>
    </row>
    <row r="17" spans="1:18" s="12" customFormat="1" ht="43.5" customHeight="1">
      <c r="A17" s="53"/>
      <c r="B17" s="60"/>
      <c r="C17" s="55"/>
      <c r="D17" s="53"/>
      <c r="E17" s="53"/>
      <c r="F17" s="21" t="s">
        <v>93</v>
      </c>
      <c r="G17" s="51"/>
      <c r="H17" s="51"/>
      <c r="I17" s="51"/>
      <c r="J17" s="52"/>
      <c r="K17" s="5" t="s">
        <v>75</v>
      </c>
      <c r="L17" s="22">
        <v>1</v>
      </c>
      <c r="M17" s="25" t="s">
        <v>40</v>
      </c>
      <c r="N17" s="24">
        <v>0.125</v>
      </c>
      <c r="O17" s="58"/>
      <c r="R17" s="16"/>
    </row>
    <row r="18" spans="1:18" s="12" customFormat="1" ht="54.75" customHeight="1">
      <c r="A18" s="53">
        <v>5</v>
      </c>
      <c r="B18" s="60" t="s">
        <v>32</v>
      </c>
      <c r="C18" s="55" t="s">
        <v>65</v>
      </c>
      <c r="D18" s="53" t="s">
        <v>66</v>
      </c>
      <c r="E18" s="53" t="s">
        <v>77</v>
      </c>
      <c r="F18" s="21" t="s">
        <v>95</v>
      </c>
      <c r="G18" s="51">
        <v>45919</v>
      </c>
      <c r="H18" s="51">
        <v>45920</v>
      </c>
      <c r="I18" s="51">
        <v>45925</v>
      </c>
      <c r="J18" s="52" t="s">
        <v>105</v>
      </c>
      <c r="K18" s="5" t="s">
        <v>70</v>
      </c>
      <c r="L18" s="22">
        <v>3</v>
      </c>
      <c r="M18" s="25" t="s">
        <v>40</v>
      </c>
      <c r="N18" s="24">
        <v>0.75</v>
      </c>
      <c r="O18" s="58"/>
    </row>
    <row r="19" spans="1:18" s="12" customFormat="1" ht="54.75" customHeight="1">
      <c r="A19" s="53"/>
      <c r="B19" s="60"/>
      <c r="C19" s="55"/>
      <c r="D19" s="53"/>
      <c r="E19" s="53"/>
      <c r="F19" s="21" t="s">
        <v>92</v>
      </c>
      <c r="G19" s="51"/>
      <c r="H19" s="51"/>
      <c r="I19" s="51"/>
      <c r="J19" s="52"/>
      <c r="K19" s="5" t="s">
        <v>71</v>
      </c>
      <c r="L19" s="22">
        <v>2</v>
      </c>
      <c r="M19" s="25" t="s">
        <v>40</v>
      </c>
      <c r="N19" s="24">
        <v>0.5</v>
      </c>
      <c r="O19" s="58"/>
    </row>
    <row r="20" spans="1:18" s="12" customFormat="1" ht="54.75" customHeight="1">
      <c r="A20" s="53"/>
      <c r="B20" s="60"/>
      <c r="C20" s="55"/>
      <c r="D20" s="53"/>
      <c r="E20" s="53"/>
      <c r="F20" s="21" t="s">
        <v>91</v>
      </c>
      <c r="G20" s="51"/>
      <c r="H20" s="51"/>
      <c r="I20" s="51"/>
      <c r="J20" s="52"/>
      <c r="K20" s="5" t="s">
        <v>72</v>
      </c>
      <c r="L20" s="22">
        <v>1</v>
      </c>
      <c r="M20" s="25" t="s">
        <v>40</v>
      </c>
      <c r="N20" s="24">
        <v>0.25</v>
      </c>
      <c r="O20" s="58"/>
    </row>
    <row r="21" spans="1:18" s="12" customFormat="1" ht="54.75" customHeight="1">
      <c r="A21" s="53"/>
      <c r="B21" s="60"/>
      <c r="C21" s="55"/>
      <c r="D21" s="53"/>
      <c r="E21" s="53"/>
      <c r="F21" s="21" t="s">
        <v>94</v>
      </c>
      <c r="G21" s="51"/>
      <c r="H21" s="51"/>
      <c r="I21" s="51"/>
      <c r="J21" s="52"/>
      <c r="K21" s="5" t="s">
        <v>73</v>
      </c>
      <c r="L21" s="22">
        <v>1</v>
      </c>
      <c r="M21" s="25" t="s">
        <v>40</v>
      </c>
      <c r="N21" s="24">
        <v>0.25</v>
      </c>
      <c r="O21" s="58"/>
    </row>
    <row r="22" spans="1:18" s="12" customFormat="1" ht="52.5" customHeight="1">
      <c r="A22" s="53"/>
      <c r="B22" s="60"/>
      <c r="C22" s="55"/>
      <c r="D22" s="53"/>
      <c r="E22" s="53"/>
      <c r="F22" s="21" t="s">
        <v>93</v>
      </c>
      <c r="G22" s="51"/>
      <c r="H22" s="51"/>
      <c r="I22" s="51"/>
      <c r="J22" s="52"/>
      <c r="K22" s="5" t="s">
        <v>75</v>
      </c>
      <c r="L22" s="22">
        <v>1</v>
      </c>
      <c r="M22" s="25" t="s">
        <v>40</v>
      </c>
      <c r="N22" s="24">
        <v>0.25</v>
      </c>
      <c r="O22" s="58"/>
    </row>
    <row r="23" spans="1:18" s="12" customFormat="1" ht="45.75" customHeight="1">
      <c r="A23" s="5">
        <v>6</v>
      </c>
      <c r="B23" s="14" t="s">
        <v>32</v>
      </c>
      <c r="C23" s="15" t="s">
        <v>41</v>
      </c>
      <c r="D23" s="5" t="s">
        <v>28</v>
      </c>
      <c r="E23" s="5" t="s">
        <v>31</v>
      </c>
      <c r="F23" s="5" t="s">
        <v>31</v>
      </c>
      <c r="G23" s="6">
        <v>45922</v>
      </c>
      <c r="H23" s="6">
        <v>45923</v>
      </c>
      <c r="I23" s="6">
        <v>45926</v>
      </c>
      <c r="J23" s="39" t="s">
        <v>105</v>
      </c>
      <c r="K23" s="5" t="s">
        <v>36</v>
      </c>
      <c r="L23" s="22">
        <v>1</v>
      </c>
      <c r="M23" s="5" t="s">
        <v>43</v>
      </c>
      <c r="N23" s="9">
        <v>2</v>
      </c>
      <c r="O23" s="9"/>
    </row>
    <row r="24" spans="1:18" s="12" customFormat="1" ht="52.5" customHeight="1">
      <c r="A24" s="5">
        <v>7</v>
      </c>
      <c r="B24" s="14" t="s">
        <v>33</v>
      </c>
      <c r="C24" s="37" t="s">
        <v>41</v>
      </c>
      <c r="D24" s="5" t="s">
        <v>29</v>
      </c>
      <c r="E24" s="5" t="s">
        <v>31</v>
      </c>
      <c r="F24" s="5" t="s">
        <v>31</v>
      </c>
      <c r="G24" s="6">
        <v>45924</v>
      </c>
      <c r="H24" s="6">
        <v>45925</v>
      </c>
      <c r="I24" s="38">
        <v>45927</v>
      </c>
      <c r="J24" s="39" t="s">
        <v>105</v>
      </c>
      <c r="K24" s="5" t="s">
        <v>36</v>
      </c>
      <c r="L24" s="22">
        <v>1</v>
      </c>
      <c r="M24" s="5" t="s">
        <v>43</v>
      </c>
      <c r="N24" s="9">
        <v>2</v>
      </c>
      <c r="O24" s="9"/>
    </row>
    <row r="25" spans="1:18" s="12" customFormat="1" ht="42" customHeight="1">
      <c r="A25" s="5">
        <v>8</v>
      </c>
      <c r="B25" s="14" t="s">
        <v>33</v>
      </c>
      <c r="C25" s="15" t="s">
        <v>18</v>
      </c>
      <c r="D25" s="5"/>
      <c r="E25" s="5" t="s">
        <v>31</v>
      </c>
      <c r="F25" s="5" t="s">
        <v>31</v>
      </c>
      <c r="G25" s="6">
        <v>45931</v>
      </c>
      <c r="H25" s="7">
        <v>45990</v>
      </c>
      <c r="I25" s="42">
        <v>45990</v>
      </c>
      <c r="J25" s="41" t="s">
        <v>105</v>
      </c>
      <c r="K25" s="5" t="s">
        <v>36</v>
      </c>
      <c r="L25" s="22">
        <v>1</v>
      </c>
      <c r="M25" s="5" t="s">
        <v>37</v>
      </c>
      <c r="N25" s="9">
        <v>30</v>
      </c>
      <c r="O25" s="9"/>
    </row>
    <row r="26" spans="1:18" s="12" customFormat="1" ht="39" customHeight="1">
      <c r="A26" s="5">
        <v>9</v>
      </c>
      <c r="B26" s="14" t="s">
        <v>33</v>
      </c>
      <c r="C26" s="17" t="s">
        <v>19</v>
      </c>
      <c r="D26" s="5"/>
      <c r="E26" s="5" t="s">
        <v>31</v>
      </c>
      <c r="F26" s="5" t="s">
        <v>77</v>
      </c>
      <c r="G26" s="6">
        <v>45940</v>
      </c>
      <c r="H26" s="7">
        <v>46001</v>
      </c>
      <c r="I26" s="42">
        <v>46001</v>
      </c>
      <c r="J26" s="41" t="s">
        <v>105</v>
      </c>
      <c r="K26" s="5" t="s">
        <v>36</v>
      </c>
      <c r="L26" s="22">
        <v>1</v>
      </c>
      <c r="M26" s="5" t="s">
        <v>99</v>
      </c>
      <c r="N26" s="9">
        <v>11</v>
      </c>
      <c r="O26" s="9"/>
    </row>
    <row r="27" spans="1:18" s="12" customFormat="1" ht="39.75" customHeight="1">
      <c r="A27" s="5">
        <v>10</v>
      </c>
      <c r="B27" s="14" t="s">
        <v>33</v>
      </c>
      <c r="C27" s="17" t="s">
        <v>20</v>
      </c>
      <c r="D27" s="5"/>
      <c r="E27" s="5" t="s">
        <v>31</v>
      </c>
      <c r="F27" s="5" t="s">
        <v>46</v>
      </c>
      <c r="G27" s="6">
        <v>45941</v>
      </c>
      <c r="H27" s="7">
        <v>46002</v>
      </c>
      <c r="I27" s="42">
        <v>46003</v>
      </c>
      <c r="J27" s="41" t="s">
        <v>105</v>
      </c>
      <c r="K27" s="5" t="s">
        <v>44</v>
      </c>
      <c r="L27" s="22">
        <v>1</v>
      </c>
      <c r="M27" s="5" t="s">
        <v>63</v>
      </c>
      <c r="N27" s="9">
        <v>8</v>
      </c>
      <c r="O27" s="9"/>
    </row>
    <row r="28" spans="1:18" s="12" customFormat="1" ht="39.75" customHeight="1">
      <c r="A28" s="53">
        <v>11</v>
      </c>
      <c r="B28" s="60" t="s">
        <v>34</v>
      </c>
      <c r="C28" s="55" t="s">
        <v>67</v>
      </c>
      <c r="D28" s="53"/>
      <c r="E28" s="53" t="s">
        <v>31</v>
      </c>
      <c r="F28" s="21" t="s">
        <v>80</v>
      </c>
      <c r="G28" s="57">
        <v>46003</v>
      </c>
      <c r="H28" s="57">
        <v>46007</v>
      </c>
      <c r="I28" s="51">
        <v>46014</v>
      </c>
      <c r="J28" s="52" t="s">
        <v>105</v>
      </c>
      <c r="K28" s="5" t="s">
        <v>36</v>
      </c>
      <c r="L28" s="22">
        <v>1</v>
      </c>
      <c r="M28" s="25" t="s">
        <v>39</v>
      </c>
      <c r="N28" s="24">
        <v>1.5</v>
      </c>
      <c r="O28" s="58"/>
    </row>
    <row r="29" spans="1:18" s="12" customFormat="1" ht="45.75" customHeight="1">
      <c r="A29" s="53"/>
      <c r="B29" s="60"/>
      <c r="C29" s="55"/>
      <c r="D29" s="53"/>
      <c r="E29" s="53"/>
      <c r="F29" s="21" t="s">
        <v>81</v>
      </c>
      <c r="G29" s="57"/>
      <c r="H29" s="57"/>
      <c r="I29" s="51"/>
      <c r="J29" s="52"/>
      <c r="K29" s="5" t="s">
        <v>44</v>
      </c>
      <c r="L29" s="22">
        <v>2</v>
      </c>
      <c r="M29" s="25" t="s">
        <v>39</v>
      </c>
      <c r="N29" s="24">
        <v>3</v>
      </c>
      <c r="O29" s="58"/>
    </row>
    <row r="30" spans="1:18" s="12" customFormat="1" ht="47.25" customHeight="1">
      <c r="A30" s="8">
        <v>12</v>
      </c>
      <c r="B30" s="30" t="s">
        <v>34</v>
      </c>
      <c r="C30" s="31" t="s">
        <v>21</v>
      </c>
      <c r="D30" s="8"/>
      <c r="E30" s="5" t="s">
        <v>31</v>
      </c>
      <c r="F30" s="5" t="s">
        <v>31</v>
      </c>
      <c r="G30" s="7">
        <v>46008</v>
      </c>
      <c r="H30" s="7">
        <v>46009</v>
      </c>
      <c r="I30" s="45">
        <v>46015</v>
      </c>
      <c r="J30" s="44" t="s">
        <v>105</v>
      </c>
      <c r="K30" s="5" t="s">
        <v>36</v>
      </c>
      <c r="L30" s="32">
        <v>1</v>
      </c>
      <c r="M30" s="8" t="s">
        <v>43</v>
      </c>
      <c r="N30" s="33">
        <v>4</v>
      </c>
      <c r="O30" s="33"/>
    </row>
    <row r="31" spans="1:18" s="12" customFormat="1" ht="47.25" customHeight="1">
      <c r="A31" s="53">
        <v>13</v>
      </c>
      <c r="B31" s="60" t="s">
        <v>33</v>
      </c>
      <c r="C31" s="55" t="s">
        <v>22</v>
      </c>
      <c r="D31" s="61"/>
      <c r="E31" s="53" t="s">
        <v>31</v>
      </c>
      <c r="F31" s="5" t="s">
        <v>78</v>
      </c>
      <c r="G31" s="57">
        <v>46010</v>
      </c>
      <c r="H31" s="57">
        <v>46018</v>
      </c>
      <c r="I31" s="57">
        <v>46018</v>
      </c>
      <c r="J31" s="52" t="s">
        <v>105</v>
      </c>
      <c r="K31" s="5" t="s">
        <v>36</v>
      </c>
      <c r="L31" s="32">
        <v>1</v>
      </c>
      <c r="M31" s="25" t="s">
        <v>39</v>
      </c>
      <c r="N31" s="34">
        <v>3</v>
      </c>
      <c r="O31" s="65"/>
    </row>
    <row r="32" spans="1:18" s="12" customFormat="1" ht="42" customHeight="1">
      <c r="A32" s="53"/>
      <c r="B32" s="60"/>
      <c r="C32" s="55"/>
      <c r="D32" s="61"/>
      <c r="E32" s="53"/>
      <c r="F32" s="5" t="s">
        <v>79</v>
      </c>
      <c r="G32" s="57"/>
      <c r="H32" s="57"/>
      <c r="I32" s="57"/>
      <c r="J32" s="52"/>
      <c r="K32" s="5" t="s">
        <v>44</v>
      </c>
      <c r="L32" s="22">
        <v>1</v>
      </c>
      <c r="M32" s="25" t="s">
        <v>39</v>
      </c>
      <c r="N32" s="24">
        <v>3</v>
      </c>
      <c r="O32" s="65"/>
    </row>
    <row r="33" spans="1:15" s="12" customFormat="1" ht="47.25" customHeight="1">
      <c r="A33" s="5">
        <v>14</v>
      </c>
      <c r="B33" s="14" t="s">
        <v>53</v>
      </c>
      <c r="C33" s="14" t="s">
        <v>54</v>
      </c>
      <c r="D33" s="5"/>
      <c r="E33" s="5" t="s">
        <v>55</v>
      </c>
      <c r="F33" s="5" t="s">
        <v>68</v>
      </c>
      <c r="G33" s="6">
        <v>45908</v>
      </c>
      <c r="H33" s="6">
        <v>45990</v>
      </c>
      <c r="I33" s="43">
        <v>45990</v>
      </c>
      <c r="J33" s="44" t="s">
        <v>105</v>
      </c>
      <c r="K33" s="5" t="s">
        <v>36</v>
      </c>
      <c r="L33" s="22">
        <v>1</v>
      </c>
      <c r="M33" s="5" t="s">
        <v>64</v>
      </c>
      <c r="N33" s="9">
        <v>5</v>
      </c>
      <c r="O33" s="9"/>
    </row>
    <row r="34" spans="1:15" s="12" customFormat="1" ht="42" customHeight="1">
      <c r="A34" s="5">
        <v>15</v>
      </c>
      <c r="B34" s="14" t="s">
        <v>56</v>
      </c>
      <c r="C34" s="14" t="s">
        <v>57</v>
      </c>
      <c r="D34" s="5"/>
      <c r="E34" s="5" t="s">
        <v>55</v>
      </c>
      <c r="F34" s="5" t="s">
        <v>68</v>
      </c>
      <c r="G34" s="7">
        <v>46019</v>
      </c>
      <c r="H34" s="7">
        <v>46020</v>
      </c>
      <c r="I34" s="6" t="s">
        <v>107</v>
      </c>
      <c r="J34" s="13" t="s">
        <v>106</v>
      </c>
      <c r="K34" s="5" t="s">
        <v>36</v>
      </c>
      <c r="L34" s="22">
        <v>1</v>
      </c>
      <c r="M34" s="5" t="s">
        <v>43</v>
      </c>
      <c r="N34" s="9">
        <v>2</v>
      </c>
      <c r="O34" s="9"/>
    </row>
    <row r="35" spans="1:15" s="12" customFormat="1" ht="42" customHeight="1">
      <c r="A35" s="5">
        <v>16</v>
      </c>
      <c r="B35" s="14" t="s">
        <v>56</v>
      </c>
      <c r="C35" s="14" t="s">
        <v>58</v>
      </c>
      <c r="D35" s="5"/>
      <c r="E35" s="5" t="s">
        <v>55</v>
      </c>
      <c r="F35" s="5" t="s">
        <v>68</v>
      </c>
      <c r="G35" s="7">
        <v>46021</v>
      </c>
      <c r="H35" s="7">
        <v>46022</v>
      </c>
      <c r="I35" s="48">
        <v>46021</v>
      </c>
      <c r="J35" s="47" t="s">
        <v>105</v>
      </c>
      <c r="K35" s="5" t="s">
        <v>36</v>
      </c>
      <c r="L35" s="22">
        <v>1</v>
      </c>
      <c r="M35" s="5" t="s">
        <v>43</v>
      </c>
      <c r="N35" s="9">
        <v>2</v>
      </c>
      <c r="O35" s="9"/>
    </row>
    <row r="36" spans="1:15" s="12" customFormat="1" ht="42" customHeight="1">
      <c r="A36" s="5">
        <v>17</v>
      </c>
      <c r="B36" s="14" t="s">
        <v>56</v>
      </c>
      <c r="C36" s="14" t="s">
        <v>59</v>
      </c>
      <c r="D36" s="5"/>
      <c r="E36" s="5" t="s">
        <v>55</v>
      </c>
      <c r="F36" s="5" t="s">
        <v>97</v>
      </c>
      <c r="G36" s="6">
        <v>46023</v>
      </c>
      <c r="H36" s="6">
        <v>46024</v>
      </c>
      <c r="I36" s="46">
        <v>46024</v>
      </c>
      <c r="J36" s="47" t="s">
        <v>105</v>
      </c>
      <c r="K36" s="5" t="s">
        <v>36</v>
      </c>
      <c r="L36" s="22">
        <v>1</v>
      </c>
      <c r="M36" s="5" t="s">
        <v>43</v>
      </c>
      <c r="N36" s="9">
        <v>2</v>
      </c>
      <c r="O36" s="9"/>
    </row>
    <row r="37" spans="1:15" s="12" customFormat="1" ht="42" customHeight="1">
      <c r="A37" s="5">
        <v>18</v>
      </c>
      <c r="B37" s="14" t="s">
        <v>56</v>
      </c>
      <c r="C37" s="14" t="s">
        <v>60</v>
      </c>
      <c r="D37" s="5"/>
      <c r="E37" s="5" t="s">
        <v>55</v>
      </c>
      <c r="F37" s="5" t="s">
        <v>61</v>
      </c>
      <c r="G37" s="6">
        <v>46025</v>
      </c>
      <c r="H37" s="6">
        <v>46027</v>
      </c>
      <c r="I37" s="46">
        <v>46025</v>
      </c>
      <c r="J37" s="47" t="s">
        <v>105</v>
      </c>
      <c r="K37" s="5" t="s">
        <v>36</v>
      </c>
      <c r="L37" s="22">
        <v>1</v>
      </c>
      <c r="M37" s="5" t="s">
        <v>43</v>
      </c>
      <c r="N37" s="9">
        <v>2</v>
      </c>
      <c r="O37" s="9"/>
    </row>
    <row r="38" spans="1:15" s="12" customFormat="1" ht="51.75" customHeight="1">
      <c r="A38" s="5">
        <v>19</v>
      </c>
      <c r="B38" s="14" t="s">
        <v>56</v>
      </c>
      <c r="C38" s="14" t="s">
        <v>62</v>
      </c>
      <c r="D38" s="5"/>
      <c r="E38" s="5" t="s">
        <v>68</v>
      </c>
      <c r="F38" s="5" t="s">
        <v>82</v>
      </c>
      <c r="G38" s="6">
        <v>46028</v>
      </c>
      <c r="H38" s="6">
        <v>46029</v>
      </c>
      <c r="I38" s="46">
        <v>46025</v>
      </c>
      <c r="J38" s="47" t="s">
        <v>105</v>
      </c>
      <c r="K38" s="5" t="s">
        <v>36</v>
      </c>
      <c r="L38" s="22">
        <v>2</v>
      </c>
      <c r="M38" s="5" t="s">
        <v>43</v>
      </c>
      <c r="N38" s="9">
        <v>4</v>
      </c>
      <c r="O38" s="9"/>
    </row>
    <row r="39" spans="1:15" s="12" customFormat="1" ht="51.75" customHeight="1">
      <c r="A39" s="53">
        <v>20</v>
      </c>
      <c r="B39" s="60" t="s">
        <v>56</v>
      </c>
      <c r="C39" s="55" t="s">
        <v>23</v>
      </c>
      <c r="D39" s="53" t="s">
        <v>28</v>
      </c>
      <c r="E39" s="53" t="s">
        <v>31</v>
      </c>
      <c r="F39" s="5" t="s">
        <v>83</v>
      </c>
      <c r="G39" s="51">
        <v>46030</v>
      </c>
      <c r="H39" s="51">
        <v>46030</v>
      </c>
      <c r="I39" s="51">
        <v>46030</v>
      </c>
      <c r="J39" s="52" t="s">
        <v>105</v>
      </c>
      <c r="K39" s="5" t="s">
        <v>36</v>
      </c>
      <c r="L39" s="22">
        <v>3</v>
      </c>
      <c r="M39" s="25" t="s">
        <v>37</v>
      </c>
      <c r="N39" s="24">
        <v>1.5</v>
      </c>
      <c r="O39" s="58"/>
    </row>
    <row r="40" spans="1:15" s="12" customFormat="1" ht="50.25" customHeight="1">
      <c r="A40" s="53"/>
      <c r="B40" s="60"/>
      <c r="C40" s="55"/>
      <c r="D40" s="53"/>
      <c r="E40" s="53"/>
      <c r="F40" s="5" t="s">
        <v>84</v>
      </c>
      <c r="G40" s="51"/>
      <c r="H40" s="51"/>
      <c r="I40" s="51"/>
      <c r="J40" s="52"/>
      <c r="K40" s="5" t="s">
        <v>44</v>
      </c>
      <c r="L40" s="22">
        <v>1</v>
      </c>
      <c r="M40" s="25" t="s">
        <v>37</v>
      </c>
      <c r="N40" s="24">
        <v>0.5</v>
      </c>
      <c r="O40" s="58"/>
    </row>
    <row r="41" spans="1:15" s="12" customFormat="1" ht="50.25" customHeight="1">
      <c r="A41" s="53">
        <v>21</v>
      </c>
      <c r="B41" s="60" t="s">
        <v>56</v>
      </c>
      <c r="C41" s="55" t="s">
        <v>42</v>
      </c>
      <c r="D41" s="53"/>
      <c r="E41" s="53" t="s">
        <v>31</v>
      </c>
      <c r="F41" s="5" t="s">
        <v>85</v>
      </c>
      <c r="G41" s="51">
        <v>46031</v>
      </c>
      <c r="H41" s="51">
        <v>46031</v>
      </c>
      <c r="I41" s="51">
        <v>46031</v>
      </c>
      <c r="J41" s="52" t="s">
        <v>105</v>
      </c>
      <c r="K41" s="5" t="s">
        <v>36</v>
      </c>
      <c r="L41" s="22">
        <v>1</v>
      </c>
      <c r="M41" s="25" t="s">
        <v>37</v>
      </c>
      <c r="N41" s="24">
        <v>0.5</v>
      </c>
      <c r="O41" s="58"/>
    </row>
    <row r="42" spans="1:15" s="12" customFormat="1" ht="45.75" customHeight="1">
      <c r="A42" s="53"/>
      <c r="B42" s="60"/>
      <c r="C42" s="55"/>
      <c r="D42" s="53"/>
      <c r="E42" s="53"/>
      <c r="F42" s="5" t="s">
        <v>86</v>
      </c>
      <c r="G42" s="51"/>
      <c r="H42" s="51"/>
      <c r="I42" s="51"/>
      <c r="J42" s="52"/>
      <c r="K42" s="5" t="s">
        <v>44</v>
      </c>
      <c r="L42" s="22">
        <v>1</v>
      </c>
      <c r="M42" s="25" t="s">
        <v>37</v>
      </c>
      <c r="N42" s="24">
        <v>0.5</v>
      </c>
      <c r="O42" s="58"/>
    </row>
    <row r="43" spans="1:15" s="12" customFormat="1" ht="44.25" customHeight="1">
      <c r="A43" s="5">
        <v>22</v>
      </c>
      <c r="B43" s="14" t="s">
        <v>35</v>
      </c>
      <c r="C43" s="15" t="s">
        <v>24</v>
      </c>
      <c r="D43" s="5"/>
      <c r="E43" s="5" t="s">
        <v>31</v>
      </c>
      <c r="F43" s="5" t="s">
        <v>47</v>
      </c>
      <c r="G43" s="6">
        <v>46032</v>
      </c>
      <c r="H43" s="6">
        <v>46032</v>
      </c>
      <c r="I43" s="49">
        <v>46032</v>
      </c>
      <c r="J43" s="50" t="s">
        <v>105</v>
      </c>
      <c r="K43" s="5" t="s">
        <v>36</v>
      </c>
      <c r="L43" s="22">
        <v>2</v>
      </c>
      <c r="M43" s="5" t="s">
        <v>38</v>
      </c>
      <c r="N43" s="9">
        <v>0.5</v>
      </c>
      <c r="O43" s="9"/>
    </row>
    <row r="44" spans="1:15" s="12" customFormat="1" ht="44.25" customHeight="1">
      <c r="A44" s="53">
        <v>23</v>
      </c>
      <c r="B44" s="60" t="s">
        <v>35</v>
      </c>
      <c r="C44" s="55" t="s">
        <v>87</v>
      </c>
      <c r="D44" s="53"/>
      <c r="E44" s="53" t="s">
        <v>31</v>
      </c>
      <c r="F44" s="5" t="s">
        <v>90</v>
      </c>
      <c r="G44" s="51">
        <v>46034</v>
      </c>
      <c r="H44" s="51">
        <v>46068</v>
      </c>
      <c r="I44" s="51"/>
      <c r="J44" s="59" t="s">
        <v>45</v>
      </c>
      <c r="K44" s="5" t="s">
        <v>36</v>
      </c>
      <c r="L44" s="22">
        <v>2</v>
      </c>
      <c r="M44" s="25" t="s">
        <v>38</v>
      </c>
      <c r="N44" s="24">
        <v>2</v>
      </c>
      <c r="O44" s="58"/>
    </row>
    <row r="45" spans="1:15" s="12" customFormat="1" ht="44.25" customHeight="1">
      <c r="A45" s="53"/>
      <c r="B45" s="60"/>
      <c r="C45" s="55"/>
      <c r="D45" s="53"/>
      <c r="E45" s="53"/>
      <c r="F45" s="5" t="s">
        <v>89</v>
      </c>
      <c r="G45" s="51"/>
      <c r="H45" s="51"/>
      <c r="I45" s="51"/>
      <c r="J45" s="59"/>
      <c r="K45" s="5" t="s">
        <v>44</v>
      </c>
      <c r="L45" s="22">
        <v>2</v>
      </c>
      <c r="M45" s="25" t="s">
        <v>38</v>
      </c>
      <c r="N45" s="24">
        <v>2</v>
      </c>
      <c r="O45" s="58"/>
    </row>
    <row r="46" spans="1:15" s="12" customFormat="1" ht="44.25" customHeight="1">
      <c r="A46" s="53">
        <v>24</v>
      </c>
      <c r="B46" s="60" t="s">
        <v>35</v>
      </c>
      <c r="C46" s="60" t="s">
        <v>88</v>
      </c>
      <c r="D46" s="53"/>
      <c r="E46" s="53" t="s">
        <v>31</v>
      </c>
      <c r="F46" s="5" t="s">
        <v>90</v>
      </c>
      <c r="G46" s="51">
        <v>46034</v>
      </c>
      <c r="H46" s="51">
        <v>46068</v>
      </c>
      <c r="I46" s="51" t="s">
        <v>28</v>
      </c>
      <c r="J46" s="59" t="s">
        <v>45</v>
      </c>
      <c r="K46" s="5" t="s">
        <v>36</v>
      </c>
      <c r="L46" s="22">
        <v>2</v>
      </c>
      <c r="M46" s="25" t="s">
        <v>38</v>
      </c>
      <c r="N46" s="24">
        <v>15</v>
      </c>
      <c r="O46" s="58"/>
    </row>
    <row r="47" spans="1:15" s="12" customFormat="1" ht="56.25" customHeight="1">
      <c r="A47" s="53"/>
      <c r="B47" s="60"/>
      <c r="C47" s="60"/>
      <c r="D47" s="53"/>
      <c r="E47" s="53"/>
      <c r="F47" s="5" t="s">
        <v>89</v>
      </c>
      <c r="G47" s="51"/>
      <c r="H47" s="51"/>
      <c r="I47" s="51"/>
      <c r="J47" s="59"/>
      <c r="K47" s="5" t="s">
        <v>44</v>
      </c>
      <c r="L47" s="22">
        <v>2</v>
      </c>
      <c r="M47" s="25" t="s">
        <v>38</v>
      </c>
      <c r="N47" s="26">
        <v>15</v>
      </c>
      <c r="O47" s="58"/>
    </row>
    <row r="48" spans="1:15" s="12" customFormat="1" ht="44.25" customHeight="1">
      <c r="A48" s="9">
        <v>25</v>
      </c>
      <c r="B48" s="14" t="s">
        <v>35</v>
      </c>
      <c r="C48" s="21" t="s">
        <v>69</v>
      </c>
      <c r="D48" s="5"/>
      <c r="E48" s="5" t="s">
        <v>31</v>
      </c>
      <c r="F48" s="5" t="s">
        <v>31</v>
      </c>
      <c r="G48" s="6">
        <v>46070</v>
      </c>
      <c r="H48" s="6">
        <v>46070</v>
      </c>
      <c r="I48" s="6" t="s">
        <v>28</v>
      </c>
      <c r="J48" s="13" t="s">
        <v>45</v>
      </c>
      <c r="K48" s="5" t="s">
        <v>36</v>
      </c>
      <c r="L48" s="9">
        <v>1</v>
      </c>
      <c r="M48" s="5" t="s">
        <v>40</v>
      </c>
      <c r="N48" s="10">
        <v>0.1</v>
      </c>
      <c r="O48" s="9"/>
    </row>
    <row r="49" spans="13:14" ht="45" customHeight="1">
      <c r="M49" s="19" t="s">
        <v>48</v>
      </c>
      <c r="N49" s="20">
        <f>SUM(N2:N48)</f>
        <v>136.1</v>
      </c>
    </row>
  </sheetData>
  <autoFilter ref="A1:R49"/>
  <mergeCells count="100">
    <mergeCell ref="A41:A42"/>
    <mergeCell ref="B41:B42"/>
    <mergeCell ref="C41:C42"/>
    <mergeCell ref="D41:D42"/>
    <mergeCell ref="E41:E42"/>
    <mergeCell ref="E44:E45"/>
    <mergeCell ref="G44:G45"/>
    <mergeCell ref="H44:H45"/>
    <mergeCell ref="I44:I45"/>
    <mergeCell ref="J44:J45"/>
    <mergeCell ref="J46:J47"/>
    <mergeCell ref="O46:O47"/>
    <mergeCell ref="G46:G47"/>
    <mergeCell ref="E46:E47"/>
    <mergeCell ref="D46:D47"/>
    <mergeCell ref="I46:I47"/>
    <mergeCell ref="H46:H47"/>
    <mergeCell ref="O2:O6"/>
    <mergeCell ref="O31:O32"/>
    <mergeCell ref="D28:D29"/>
    <mergeCell ref="C28:C29"/>
    <mergeCell ref="B28:B29"/>
    <mergeCell ref="E31:E32"/>
    <mergeCell ref="I31:I32"/>
    <mergeCell ref="O18:O22"/>
    <mergeCell ref="O28:O29"/>
    <mergeCell ref="J31:J32"/>
    <mergeCell ref="O8:O12"/>
    <mergeCell ref="O13:O17"/>
    <mergeCell ref="H18:H22"/>
    <mergeCell ref="I18:I22"/>
    <mergeCell ref="J18:J22"/>
    <mergeCell ref="G18:G22"/>
    <mergeCell ref="A28:A29"/>
    <mergeCell ref="D39:D40"/>
    <mergeCell ref="C39:C40"/>
    <mergeCell ref="B39:B40"/>
    <mergeCell ref="A39:A40"/>
    <mergeCell ref="D31:D32"/>
    <mergeCell ref="C31:C32"/>
    <mergeCell ref="B31:B32"/>
    <mergeCell ref="A31:A32"/>
    <mergeCell ref="A13:A17"/>
    <mergeCell ref="B13:B17"/>
    <mergeCell ref="C13:C17"/>
    <mergeCell ref="D13:D17"/>
    <mergeCell ref="E13:E17"/>
    <mergeCell ref="A18:A22"/>
    <mergeCell ref="B18:B22"/>
    <mergeCell ref="C18:C22"/>
    <mergeCell ref="D18:D22"/>
    <mergeCell ref="E18:E22"/>
    <mergeCell ref="A46:A47"/>
    <mergeCell ref="A44:A45"/>
    <mergeCell ref="B44:B45"/>
    <mergeCell ref="C44:C45"/>
    <mergeCell ref="D44:D45"/>
    <mergeCell ref="C46:C47"/>
    <mergeCell ref="B46:B47"/>
    <mergeCell ref="O44:O45"/>
    <mergeCell ref="J39:J40"/>
    <mergeCell ref="I39:I40"/>
    <mergeCell ref="H39:H40"/>
    <mergeCell ref="G39:G40"/>
    <mergeCell ref="O39:O40"/>
    <mergeCell ref="G41:G42"/>
    <mergeCell ref="H41:H42"/>
    <mergeCell ref="I41:I42"/>
    <mergeCell ref="J41:J42"/>
    <mergeCell ref="O41:O42"/>
    <mergeCell ref="E39:E40"/>
    <mergeCell ref="G8:G12"/>
    <mergeCell ref="H8:H12"/>
    <mergeCell ref="I8:I12"/>
    <mergeCell ref="J8:J12"/>
    <mergeCell ref="G13:G17"/>
    <mergeCell ref="H13:H17"/>
    <mergeCell ref="I13:I17"/>
    <mergeCell ref="J13:J17"/>
    <mergeCell ref="J28:J29"/>
    <mergeCell ref="I28:I29"/>
    <mergeCell ref="H28:H29"/>
    <mergeCell ref="G28:G29"/>
    <mergeCell ref="E28:E29"/>
    <mergeCell ref="H31:H32"/>
    <mergeCell ref="G31:G32"/>
    <mergeCell ref="H2:H6"/>
    <mergeCell ref="I2:I6"/>
    <mergeCell ref="J2:J6"/>
    <mergeCell ref="B2:B6"/>
    <mergeCell ref="A8:A12"/>
    <mergeCell ref="B8:B12"/>
    <mergeCell ref="C8:C12"/>
    <mergeCell ref="D8:D12"/>
    <mergeCell ref="E8:E12"/>
    <mergeCell ref="A2:A6"/>
    <mergeCell ref="C2:C6"/>
    <mergeCell ref="D2:D6"/>
    <mergeCell ref="E2:E6"/>
    <mergeCell ref="G2:G6"/>
  </mergeCells>
  <phoneticPr fontId="5" type="noConversion"/>
  <conditionalFormatting sqref="J1:N1 N2:N5">
    <cfRule type="cellIs" dxfId="3" priority="1" operator="equal">
      <formula>"Cancel"</formula>
    </cfRule>
    <cfRule type="cellIs" dxfId="2" priority="2" operator="equal">
      <formula>"Delay"</formula>
    </cfRule>
    <cfRule type="cellIs" dxfId="1" priority="3" operator="equal">
      <formula>"Ongoing"</formula>
    </cfRule>
    <cfRule type="cellIs" dxfId="0" priority="4" operator="equal">
      <formula>"Close"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2025-09-08T03:52:36Z</dcterms:created>
  <dcterms:modified xsi:type="dcterms:W3CDTF">2026-01-10T06:21:49Z</dcterms:modified>
</cp:coreProperties>
</file>