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jasekhar-y\Desktop\DECEMBER MONTH OFFICIAL SCHEDULE\"/>
    </mc:Choice>
  </mc:AlternateContent>
  <bookViews>
    <workbookView xWindow="0" yWindow="0" windowWidth="20490" windowHeight="7755"/>
  </bookViews>
  <sheets>
    <sheet name="GL" sheetId="2" r:id="rId1"/>
  </sheets>
  <definedNames>
    <definedName name="_1Excel_BuiltIn__FilterDatabase_1" localSheetId="0">#REF!</definedName>
    <definedName name="_1Excel_BuiltIn__FilterDatabase_1">#REF!</definedName>
    <definedName name="_xlnm._FilterDatabase" localSheetId="0" hidden="1">GL!#REF!</definedName>
    <definedName name="a" localSheetId="0">#REF!</definedName>
    <definedName name="a">#REF!</definedName>
    <definedName name="AAAAA" localSheetId="0">#REF!</definedName>
    <definedName name="AAAAA">#REF!</definedName>
    <definedName name="asss" localSheetId="0">#REF!</definedName>
    <definedName name="asss">#REF!</definedName>
    <definedName name="bbbb" localSheetId="0">#REF!</definedName>
    <definedName name="bbbb">#REF!</definedName>
    <definedName name="d1jan" localSheetId="0">#REF!</definedName>
    <definedName name="d1jan">#REF!</definedName>
    <definedName name="D1JANUARY" localSheetId="0">#REF!</definedName>
    <definedName name="D1JANUARY">#REF!</definedName>
    <definedName name="DDDDDDDDD" localSheetId="0">#REF!</definedName>
    <definedName name="DDDDDDDDD">#REF!</definedName>
    <definedName name="dffff" localSheetId="0">#REF!</definedName>
    <definedName name="dffff">#REF!</definedName>
    <definedName name="dfsfdsfdsf" localSheetId="0">#REF!</definedName>
    <definedName name="dfsfdsfdsf">#REF!</definedName>
    <definedName name="eeee" localSheetId="0">#REF!</definedName>
    <definedName name="eeee">#REF!</definedName>
    <definedName name="eeeerrrrr" localSheetId="0">#REF!</definedName>
    <definedName name="eeeerrrrr">#REF!</definedName>
    <definedName name="eerrr" localSheetId="0">#REF!</definedName>
    <definedName name="eerrr">#REF!</definedName>
    <definedName name="errttt" localSheetId="0">#REF!</definedName>
    <definedName name="errttt">#REF!</definedName>
    <definedName name="Excel_BuiltIn__FilterDatabase" localSheetId="0">#REF!</definedName>
    <definedName name="Excel_BuiltIn__FilterDatabase">#REF!</definedName>
    <definedName name="ffff" localSheetId="0">#REF!</definedName>
    <definedName name="ffff">#REF!</definedName>
    <definedName name="FFFFF" localSheetId="0">#REF!</definedName>
    <definedName name="FFFFF">#REF!</definedName>
    <definedName name="ffffff" localSheetId="0">#REF!</definedName>
    <definedName name="ffffff">#REF!</definedName>
    <definedName name="fffffrr" localSheetId="0">#REF!</definedName>
    <definedName name="fffffrr">#REF!</definedName>
    <definedName name="ffffg" localSheetId="0">#REF!</definedName>
    <definedName name="ffffg">#REF!</definedName>
    <definedName name="fgggg" localSheetId="0">#REF!</definedName>
    <definedName name="fgggg">#REF!</definedName>
    <definedName name="GFFF" localSheetId="0">#REF!</definedName>
    <definedName name="GFFF">#REF!</definedName>
    <definedName name="GGGGGG" localSheetId="0">#REF!</definedName>
    <definedName name="GGGGGG">#REF!</definedName>
    <definedName name="GGGGGGG" localSheetId="0">#REF!</definedName>
    <definedName name="GGGGGGG">#REF!</definedName>
    <definedName name="HGG" localSheetId="0">#REF!</definedName>
    <definedName name="HGG">#REF!</definedName>
    <definedName name="khhgg" localSheetId="0">#REF!</definedName>
    <definedName name="khhgg">#REF!</definedName>
    <definedName name="llll" localSheetId="0">#REF!</definedName>
    <definedName name="llll">#REF!</definedName>
    <definedName name="MMMMM" localSheetId="0">#REF!</definedName>
    <definedName name="MMMMM">#REF!</definedName>
    <definedName name="naaaa" localSheetId="0">#REF!</definedName>
    <definedName name="naaaa">#REF!</definedName>
    <definedName name="PPP" localSheetId="0">#REF!</definedName>
    <definedName name="PPP">#REF!</definedName>
    <definedName name="PPPP" localSheetId="0">#REF!</definedName>
    <definedName name="PPPP">#REF!</definedName>
    <definedName name="PPPPP" localSheetId="0">#REF!</definedName>
    <definedName name="PPPPP">#REF!</definedName>
    <definedName name="_xlnm.Print_Area" localSheetId="0">GL!$A$1:$O$63</definedName>
    <definedName name="_xlnm.Print_Titles" localSheetId="0">GL!$1:$1</definedName>
    <definedName name="QQQQ" localSheetId="0">#REF!</definedName>
    <definedName name="QQQQ">#REF!</definedName>
    <definedName name="QQQQQQQ" localSheetId="0">#REF!</definedName>
    <definedName name="QQQQQQQ">#REF!</definedName>
    <definedName name="qweee" localSheetId="0">#REF!</definedName>
    <definedName name="qweee">#REF!</definedName>
    <definedName name="rrreee" localSheetId="0">#REF!</definedName>
    <definedName name="rrreee">#REF!</definedName>
    <definedName name="rrrrr" localSheetId="0">#REF!</definedName>
    <definedName name="rrrrr">#REF!</definedName>
    <definedName name="rrrrrrf" localSheetId="0">#REF!</definedName>
    <definedName name="rrrrrrf">#REF!</definedName>
    <definedName name="rrrrttttt" localSheetId="0">#REF!</definedName>
    <definedName name="rrrrttttt">#REF!</definedName>
    <definedName name="rrrttt" localSheetId="0">#REF!</definedName>
    <definedName name="rrrttt">#REF!</definedName>
    <definedName name="swer" localSheetId="0">#REF!</definedName>
    <definedName name="swer">#REF!</definedName>
    <definedName name="ttttt" localSheetId="0">#REF!</definedName>
    <definedName name="ttttt">#REF!</definedName>
    <definedName name="tttttttt" localSheetId="0">#REF!</definedName>
    <definedName name="tttttttt">#REF!</definedName>
    <definedName name="VVVVVVV" localSheetId="0">#REF!</definedName>
    <definedName name="VVVVVVV">#REF!</definedName>
    <definedName name="yyyy" localSheetId="0">#REF!</definedName>
    <definedName name="yyyy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5" i="2" l="1"/>
  <c r="O61" i="2"/>
  <c r="J16" i="2"/>
  <c r="J36" i="2"/>
  <c r="J45" i="2"/>
  <c r="O60" i="2" l="1"/>
  <c r="O59" i="2"/>
  <c r="O58" i="2"/>
  <c r="O57" i="2"/>
  <c r="O56" i="2"/>
  <c r="J46" i="2"/>
</calcChain>
</file>

<file path=xl/sharedStrings.xml><?xml version="1.0" encoding="utf-8"?>
<sst xmlns="http://schemas.openxmlformats.org/spreadsheetml/2006/main" count="374" uniqueCount="153">
  <si>
    <r>
      <rPr>
        <b/>
        <sz val="10"/>
        <rFont val="新細明體"/>
        <family val="1"/>
        <charset val="136"/>
      </rPr>
      <t>说明</t>
    </r>
    <r>
      <rPr>
        <b/>
        <sz val="10"/>
        <rFont val="Arial"/>
        <family val="2"/>
      </rPr>
      <t>Note:</t>
    </r>
    <r>
      <rPr>
        <b/>
        <sz val="10"/>
        <rFont val="新細明體"/>
        <family val="1"/>
        <charset val="136"/>
      </rPr>
      <t>具体生产请根据生管周进度及日指示执行</t>
    </r>
    <r>
      <rPr>
        <b/>
        <sz val="10"/>
        <rFont val="Arial"/>
        <family val="2"/>
      </rPr>
      <t>actual production please Follow production control weekly schdule and hourly plan to run</t>
    </r>
    <r>
      <rPr>
        <b/>
        <sz val="10"/>
        <rFont val="新細明體"/>
        <family val="1"/>
        <charset val="136"/>
      </rPr>
      <t/>
    </r>
  </si>
  <si>
    <t>生产周</t>
  </si>
  <si>
    <t>Last no</t>
  </si>
  <si>
    <t>订单交期</t>
  </si>
  <si>
    <t>CRD</t>
  </si>
  <si>
    <t>鞋型</t>
  </si>
  <si>
    <t xml:space="preserve"> 模号</t>
  </si>
  <si>
    <r>
      <rPr>
        <b/>
        <sz val="10"/>
        <color indexed="8"/>
        <rFont val="Arial"/>
        <family val="2"/>
      </rPr>
      <t>客户PO号</t>
    </r>
  </si>
  <si>
    <t>SAP P/O</t>
  </si>
  <si>
    <t>ART.NO</t>
    <phoneticPr fontId="0" type="noConversion"/>
  </si>
  <si>
    <t>数量</t>
  </si>
  <si>
    <t>Class Code</t>
  </si>
  <si>
    <t>国家</t>
  </si>
  <si>
    <t>加工组别</t>
    <phoneticPr fontId="0" type="noConversion"/>
  </si>
  <si>
    <t>备注1</t>
  </si>
  <si>
    <t>备注2</t>
  </si>
  <si>
    <t>WEEK</t>
  </si>
  <si>
    <t>LPD</t>
  </si>
  <si>
    <t>Shoe Name</t>
  </si>
  <si>
    <t>Mold No</t>
  </si>
  <si>
    <t>CO NO</t>
  </si>
  <si>
    <t>Art No</t>
  </si>
  <si>
    <t>Qty</t>
  </si>
  <si>
    <t>Destination</t>
  </si>
  <si>
    <t>Assembly</t>
  </si>
  <si>
    <t>Remark 1</t>
  </si>
  <si>
    <t>Receipt Date</t>
  </si>
  <si>
    <t>12/07-12/13</t>
  </si>
  <si>
    <t>41TUR</t>
  </si>
  <si>
    <t>SAMBA OG J(1A)</t>
  </si>
  <si>
    <t>42351</t>
  </si>
  <si>
    <t>0901854524&amp;1</t>
  </si>
  <si>
    <t>1000290466</t>
  </si>
  <si>
    <t>IE3675</t>
  </si>
  <si>
    <t>P1</t>
  </si>
  <si>
    <t>Germany</t>
  </si>
  <si>
    <t>0901860606&amp;1</t>
  </si>
  <si>
    <t>1000290502</t>
  </si>
  <si>
    <t>P2</t>
  </si>
  <si>
    <t>0901864869&amp;1</t>
  </si>
  <si>
    <t>1000290526</t>
  </si>
  <si>
    <t>United Kingdom</t>
  </si>
  <si>
    <t>0901872108&amp;1</t>
  </si>
  <si>
    <t>1000290553</t>
  </si>
  <si>
    <t>0901873196&amp;1</t>
  </si>
  <si>
    <t>1000290556</t>
  </si>
  <si>
    <t>CUT WEEK</t>
  </si>
  <si>
    <t>121/4-12/20</t>
  </si>
  <si>
    <t>0901873300&amp;1</t>
  </si>
  <si>
    <t>1000290560</t>
  </si>
  <si>
    <t>Spain</t>
  </si>
  <si>
    <t>0901855718&amp;1</t>
  </si>
  <si>
    <t>1000290471</t>
  </si>
  <si>
    <t>0901873154&amp;1</t>
  </si>
  <si>
    <t>1000290555</t>
  </si>
  <si>
    <t>P3</t>
  </si>
  <si>
    <t>0901854455&amp;1</t>
  </si>
  <si>
    <t>1000290465</t>
  </si>
  <si>
    <t>0901854568&amp;1</t>
  </si>
  <si>
    <t>1000290467</t>
  </si>
  <si>
    <t>0901839278&amp;1</t>
  </si>
  <si>
    <t>1000290421</t>
  </si>
  <si>
    <t>Utd.Arab Emir.</t>
  </si>
  <si>
    <t>12/21-12/27</t>
  </si>
  <si>
    <t>0901853046&amp;1</t>
  </si>
  <si>
    <t>1000290461</t>
  </si>
  <si>
    <t>Australia</t>
  </si>
  <si>
    <t>0901855421&amp;1</t>
  </si>
  <si>
    <t>1000290469</t>
  </si>
  <si>
    <t>Mexico</t>
  </si>
  <si>
    <t>0901857215&amp;1</t>
  </si>
  <si>
    <t>1000290483</t>
  </si>
  <si>
    <t>Canada</t>
  </si>
  <si>
    <t>0901866982&amp;1</t>
  </si>
  <si>
    <t>1000290538</t>
  </si>
  <si>
    <t>0901868515&amp;1</t>
  </si>
  <si>
    <t>1000290547</t>
  </si>
  <si>
    <t>Brazil</t>
  </si>
  <si>
    <t>0901853968&amp;1</t>
  </si>
  <si>
    <t>1000291510</t>
  </si>
  <si>
    <t>USA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</si>
  <si>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</si>
  <si>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日期DATE</t>
  </si>
  <si>
    <t>S1</t>
  </si>
  <si>
    <t>S2</t>
  </si>
  <si>
    <t>S3</t>
  </si>
  <si>
    <t>S5</t>
  </si>
  <si>
    <t>S6</t>
  </si>
  <si>
    <t>S8</t>
  </si>
  <si>
    <t>TOTAL</t>
  </si>
  <si>
    <t>GRAND TOTAL</t>
  </si>
  <si>
    <r>
      <rPr>
        <b/>
        <sz val="10"/>
        <color theme="1"/>
        <rFont val="新細明體"/>
        <family val="2"/>
      </rPr>
      <t xml:space="preserve">核准
</t>
    </r>
    <r>
      <rPr>
        <b/>
        <sz val="10"/>
        <color theme="1"/>
        <rFont val="Arial"/>
        <family val="2"/>
      </rPr>
      <t>Approved by</t>
    </r>
  </si>
  <si>
    <r>
      <rPr>
        <b/>
        <sz val="10"/>
        <color theme="1"/>
        <rFont val="新細明體"/>
        <family val="2"/>
      </rPr>
      <t xml:space="preserve">审核
</t>
    </r>
    <r>
      <rPr>
        <b/>
        <sz val="10"/>
        <color theme="1"/>
        <rFont val="Arial"/>
        <family val="2"/>
      </rPr>
      <t>Checked by</t>
    </r>
  </si>
  <si>
    <r>
      <rPr>
        <b/>
        <sz val="10"/>
        <color theme="1"/>
        <rFont val="新細明體"/>
        <family val="2"/>
      </rPr>
      <t xml:space="preserve">制定
</t>
    </r>
    <r>
      <rPr>
        <b/>
        <sz val="10"/>
        <color theme="1"/>
        <rFont val="Arial"/>
        <family val="2"/>
      </rPr>
      <t>Made by : RAJA-Y</t>
    </r>
  </si>
  <si>
    <t>APC/QMS-PLN/R03</t>
  </si>
  <si>
    <t>SAMBA OG W(16)</t>
  </si>
  <si>
    <t>0901522010&amp;1</t>
  </si>
  <si>
    <t>1000266868</t>
  </si>
  <si>
    <t>JR0035</t>
  </si>
  <si>
    <t>Israel</t>
  </si>
  <si>
    <t>SAMBA OG W(10B)</t>
  </si>
  <si>
    <t>0901856132&amp;1</t>
  </si>
  <si>
    <t>1000290476</t>
  </si>
  <si>
    <t>JI2725</t>
  </si>
  <si>
    <t>SAMBA OG(8)</t>
  </si>
  <si>
    <t>4500810652&amp;1</t>
  </si>
  <si>
    <t>1000257565</t>
  </si>
  <si>
    <t>B75806</t>
  </si>
  <si>
    <t/>
  </si>
  <si>
    <t>South Africa</t>
  </si>
  <si>
    <t>0901860500&amp;1</t>
  </si>
  <si>
    <t>1000290500</t>
  </si>
  <si>
    <t>SAMBA OG(5A)</t>
  </si>
  <si>
    <t>0901838645&amp;1</t>
  </si>
  <si>
    <t>1000290420</t>
  </si>
  <si>
    <t>IE3439</t>
  </si>
  <si>
    <t>0901839360&amp;1</t>
  </si>
  <si>
    <t>1000290422</t>
  </si>
  <si>
    <t>IH6870</t>
  </si>
  <si>
    <t>0901847404&amp;1</t>
  </si>
  <si>
    <t>1000290430</t>
  </si>
  <si>
    <t>Monaco</t>
  </si>
  <si>
    <t>0901847602&amp;1</t>
  </si>
  <si>
    <t>1000290432</t>
  </si>
  <si>
    <t>0901848967&amp;1</t>
  </si>
  <si>
    <t>1000290438</t>
  </si>
  <si>
    <t>0901849436&amp;1</t>
  </si>
  <si>
    <t>1000290441</t>
  </si>
  <si>
    <t>Italy</t>
  </si>
  <si>
    <t>SAMBA OG J(APH SMU 7)</t>
  </si>
  <si>
    <t>0901850085&amp;1</t>
  </si>
  <si>
    <t>1000290443</t>
  </si>
  <si>
    <t>HQ0288</t>
  </si>
  <si>
    <t>0901851170&amp;1</t>
  </si>
  <si>
    <t>1000290453</t>
  </si>
  <si>
    <t>0901851265&amp;1</t>
  </si>
  <si>
    <t>1000290454</t>
  </si>
  <si>
    <t>HQ0289</t>
  </si>
  <si>
    <t>SAMBA OG J(1B)</t>
  </si>
  <si>
    <t>0901857285&amp;1</t>
  </si>
  <si>
    <t>1000290485</t>
  </si>
  <si>
    <t>IE3676</t>
  </si>
  <si>
    <t>0901867023&amp;1</t>
  </si>
  <si>
    <t>1000290539</t>
  </si>
  <si>
    <t>0901846385&amp;1</t>
  </si>
  <si>
    <t>1000291501</t>
  </si>
  <si>
    <t>0901846460&amp;1</t>
  </si>
  <si>
    <t>1000291502</t>
  </si>
  <si>
    <t>0901847223&amp;1</t>
  </si>
  <si>
    <t>1000291506</t>
  </si>
  <si>
    <t>0901853869&amp;1</t>
  </si>
  <si>
    <t>1000291509</t>
  </si>
  <si>
    <r>
      <t xml:space="preserve">DECEMBER OFFICIAL SCHEDULE  </t>
    </r>
    <r>
      <rPr>
        <b/>
        <sz val="12"/>
        <rFont val="新細明體"/>
        <family val="1"/>
      </rPr>
      <t>线别</t>
    </r>
    <r>
      <rPr>
        <b/>
        <sz val="12"/>
        <rFont val="Arial"/>
        <family val="2"/>
      </rPr>
      <t xml:space="preserve">   Cell: GOOD LEATHER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</si>
</sst>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m/d/yyyy;@"/>
    <numFmt numFmtId="165" formatCode="[$-409]d\-mmm;@"/>
    <numFmt numFmtId="166" formatCode="0;[Red]0"/>
    <numFmt numFmtId="167" formatCode="m/d"/>
    <numFmt numFmtId="168" formatCode="&quot;Month: &quot;\ yyyy\-mm"/>
  </numFmts>
  <fonts count="13">
    <font>
      <sz val="11"/>
      <color theme="1"/>
      <name val="Calibri"/>
      <family val="2"/>
      <scheme val="minor"/>
    </font>
    <font>
      <sz val="12"/>
      <name val="宋体"/>
      <family val="3"/>
      <charset val="134"/>
    </font>
    <font>
      <b/>
      <sz val="12"/>
      <name val="Arial"/>
      <family val="2"/>
    </font>
    <font>
      <b/>
      <sz val="12"/>
      <name val="新細明體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name val="新細明體"/>
      <family val="1"/>
      <charset val="136"/>
    </font>
    <font>
      <sz val="10"/>
      <name val="宋体"/>
      <family val="3"/>
      <charset val="134"/>
    </font>
    <font>
      <b/>
      <sz val="10"/>
      <color indexed="8"/>
      <name val="Arial"/>
      <family val="2"/>
    </font>
    <font>
      <b/>
      <sz val="10"/>
      <name val="細明體"/>
      <family val="3"/>
      <charset val="136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新細明體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8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vertical="top"/>
    </xf>
    <xf numFmtId="0" fontId="7" fillId="0" borderId="0"/>
    <xf numFmtId="0" fontId="1" fillId="0" borderId="0">
      <alignment vertical="center"/>
    </xf>
    <xf numFmtId="0" fontId="1" fillId="0" borderId="0"/>
    <xf numFmtId="0" fontId="1" fillId="0" borderId="0">
      <alignment vertical="top"/>
    </xf>
  </cellStyleXfs>
  <cellXfs count="60">
    <xf numFmtId="0" fontId="0" fillId="0" borderId="0" xfId="0"/>
    <xf numFmtId="0" fontId="4" fillId="0" borderId="0" xfId="0" applyFont="1" applyFill="1" applyAlignment="1">
      <alignment horizontal="center" vertical="center"/>
    </xf>
    <xf numFmtId="0" fontId="5" fillId="2" borderId="7" xfId="2" applyFont="1" applyFill="1" applyBorder="1" applyAlignment="1">
      <alignment horizontal="center" vertical="center"/>
    </xf>
    <xf numFmtId="0" fontId="5" fillId="2" borderId="7" xfId="2" applyFont="1" applyFill="1" applyBorder="1" applyAlignment="1">
      <alignment horizontal="center" vertical="center" shrinkToFit="1"/>
    </xf>
    <xf numFmtId="164" fontId="5" fillId="2" borderId="7" xfId="2" applyNumberFormat="1" applyFont="1" applyFill="1" applyBorder="1" applyAlignment="1">
      <alignment horizontal="center" vertical="center" shrinkToFit="1"/>
    </xf>
    <xf numFmtId="0" fontId="5" fillId="3" borderId="7" xfId="2" applyNumberFormat="1" applyFont="1" applyFill="1" applyBorder="1" applyAlignment="1">
      <alignment horizontal="center" vertical="center" shrinkToFit="1"/>
    </xf>
    <xf numFmtId="0" fontId="9" fillId="2" borderId="7" xfId="2" applyFont="1" applyFill="1" applyBorder="1" applyAlignment="1">
      <alignment horizontal="center" vertical="center" shrinkToFit="1"/>
    </xf>
    <xf numFmtId="0" fontId="10" fillId="4" borderId="8" xfId="3" applyNumberFormat="1" applyFont="1" applyFill="1" applyBorder="1" applyAlignment="1">
      <alignment horizontal="center" vertical="center" shrinkToFit="1"/>
    </xf>
    <xf numFmtId="14" fontId="10" fillId="4" borderId="7" xfId="3" applyNumberFormat="1" applyFont="1" applyFill="1" applyBorder="1" applyAlignment="1">
      <alignment horizontal="center" vertical="center" shrinkToFit="1"/>
    </xf>
    <xf numFmtId="0" fontId="10" fillId="0" borderId="7" xfId="3" quotePrefix="1" applyFont="1" applyFill="1" applyBorder="1" applyAlignment="1">
      <alignment vertical="center" shrinkToFit="1"/>
    </xf>
    <xf numFmtId="0" fontId="10" fillId="0" borderId="7" xfId="0" quotePrefix="1" applyFont="1" applyFill="1" applyBorder="1" applyAlignment="1">
      <alignment horizontal="center" vertical="center" shrinkToFit="1"/>
    </xf>
    <xf numFmtId="0" fontId="10" fillId="0" borderId="7" xfId="3" quotePrefix="1" applyFont="1" applyFill="1" applyBorder="1" applyAlignment="1">
      <alignment horizontal="center" vertical="center" shrinkToFit="1"/>
    </xf>
    <xf numFmtId="0" fontId="10" fillId="0" borderId="7" xfId="3" applyFont="1" applyFill="1" applyBorder="1" applyAlignment="1">
      <alignment horizontal="center" shrinkToFit="1"/>
    </xf>
    <xf numFmtId="14" fontId="10" fillId="4" borderId="7" xfId="3" applyNumberFormat="1" applyFont="1" applyFill="1" applyBorder="1" applyAlignment="1">
      <alignment horizontal="center" vertical="center"/>
    </xf>
    <xf numFmtId="165" fontId="10" fillId="4" borderId="7" xfId="3" applyNumberFormat="1" applyFont="1" applyFill="1" applyBorder="1" applyAlignment="1">
      <alignment horizontal="center" vertical="center" shrinkToFit="1"/>
    </xf>
    <xf numFmtId="14" fontId="10" fillId="0" borderId="7" xfId="3" applyNumberFormat="1" applyFont="1" applyFill="1" applyBorder="1" applyAlignment="1">
      <alignment horizontal="center" vertical="center" shrinkToFit="1"/>
    </xf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Fill="1" applyAlignment="1">
      <alignment horizontal="center"/>
    </xf>
    <xf numFmtId="164" fontId="10" fillId="0" borderId="9" xfId="0" applyNumberFormat="1" applyFont="1" applyBorder="1" applyAlignment="1">
      <alignment horizontal="center" vertical="center"/>
    </xf>
    <xf numFmtId="164" fontId="10" fillId="0" borderId="10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166" fontId="5" fillId="0" borderId="1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66" fontId="5" fillId="0" borderId="10" xfId="0" applyNumberFormat="1" applyFont="1" applyBorder="1" applyAlignment="1">
      <alignment horizontal="right" vertical="center"/>
    </xf>
    <xf numFmtId="0" fontId="5" fillId="3" borderId="7" xfId="4" applyFont="1" applyFill="1" applyBorder="1" applyAlignment="1">
      <alignment horizontal="center" vertical="center" shrinkToFit="1"/>
    </xf>
    <xf numFmtId="167" fontId="5" fillId="3" borderId="7" xfId="4" quotePrefix="1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vertical="center"/>
    </xf>
    <xf numFmtId="0" fontId="5" fillId="0" borderId="7" xfId="4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11" fillId="0" borderId="7" xfId="5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5" fillId="0" borderId="1" xfId="4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11" fillId="0" borderId="2" xfId="5" applyNumberFormat="1" applyFont="1" applyFill="1" applyBorder="1" applyAlignment="1">
      <alignment horizontal="center" vertical="center"/>
    </xf>
    <xf numFmtId="0" fontId="11" fillId="6" borderId="11" xfId="0" applyFont="1" applyFill="1" applyBorder="1" applyAlignment="1">
      <alignment horizontal="center" vertical="center"/>
    </xf>
    <xf numFmtId="0" fontId="11" fillId="0" borderId="3" xfId="5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right" vertical="center"/>
    </xf>
    <xf numFmtId="168" fontId="11" fillId="0" borderId="5" xfId="0" applyNumberFormat="1" applyFont="1" applyBorder="1" applyAlignment="1">
      <alignment horizontal="right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11" xfId="2" applyFont="1" applyFill="1" applyBorder="1" applyAlignment="1">
      <alignment horizontal="center" vertical="center"/>
    </xf>
    <xf numFmtId="0" fontId="5" fillId="0" borderId="12" xfId="2" applyFont="1" applyFill="1" applyBorder="1" applyAlignment="1">
      <alignment horizontal="center" vertical="center"/>
    </xf>
    <xf numFmtId="0" fontId="5" fillId="0" borderId="13" xfId="2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</cellXfs>
  <cellStyles count="6">
    <cellStyle name="Normal" xfId="0" builtinId="0"/>
    <cellStyle name="Normal 2 2" xfId="5"/>
    <cellStyle name="常规 2 3" xfId="1"/>
    <cellStyle name="常规 7 2" xfId="4"/>
    <cellStyle name="常规_APE  2013-05 正式ETC" xfId="2"/>
    <cellStyle name="常规_wrong client no issue" xfId="3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T63"/>
  <sheetViews>
    <sheetView tabSelected="1" view="pageBreakPreview" zoomScaleNormal="100" zoomScaleSheetLayoutView="100" workbookViewId="0">
      <selection activeCell="L52" sqref="L52"/>
    </sheetView>
  </sheetViews>
  <sheetFormatPr defaultRowHeight="12.75"/>
  <cols>
    <col min="1" max="1" width="10.7109375" style="18" bestFit="1" customWidth="1"/>
    <col min="2" max="2" width="9.28515625" style="18" customWidth="1"/>
    <col min="3" max="4" width="10.140625" style="18" bestFit="1" customWidth="1"/>
    <col min="5" max="5" width="16.28515625" style="18" customWidth="1"/>
    <col min="6" max="6" width="8.42578125" style="18" bestFit="1" customWidth="1"/>
    <col min="7" max="7" width="13.42578125" style="18" bestFit="1" customWidth="1"/>
    <col min="8" max="8" width="11" style="18" bestFit="1" customWidth="1"/>
    <col min="9" max="9" width="8" style="18" bestFit="1" customWidth="1"/>
    <col min="10" max="10" width="12.7109375" style="18" bestFit="1" customWidth="1"/>
    <col min="11" max="11" width="11" style="18" bestFit="1" customWidth="1"/>
    <col min="12" max="12" width="13.42578125" style="18" bestFit="1" customWidth="1"/>
    <col min="13" max="13" width="12.28515625" style="18" bestFit="1" customWidth="1"/>
    <col min="14" max="14" width="14.42578125" style="18" bestFit="1" customWidth="1"/>
    <col min="15" max="15" width="12.5703125" style="18" bestFit="1" customWidth="1"/>
    <col min="16" max="19" width="9.140625" style="19"/>
    <col min="20" max="20" width="11" style="19" bestFit="1" customWidth="1"/>
    <col min="21" max="16384" width="9.140625" style="19"/>
  </cols>
  <sheetData>
    <row r="1" spans="1:20" s="1" customFormat="1" ht="22.5" customHeight="1">
      <c r="A1" s="49" t="s">
        <v>152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1"/>
    </row>
    <row r="2" spans="1:20" s="1" customFormat="1" ht="22.5" customHeight="1">
      <c r="A2" s="52" t="s">
        <v>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4"/>
    </row>
    <row r="3" spans="1:20" s="1" customFormat="1">
      <c r="A3" s="2" t="s">
        <v>1</v>
      </c>
      <c r="B3" s="3" t="s">
        <v>2</v>
      </c>
      <c r="C3" s="4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5" t="s">
        <v>10</v>
      </c>
      <c r="K3" s="5" t="s">
        <v>11</v>
      </c>
      <c r="L3" s="3" t="s">
        <v>12</v>
      </c>
      <c r="M3" s="6" t="s">
        <v>13</v>
      </c>
      <c r="N3" s="3" t="s">
        <v>14</v>
      </c>
      <c r="O3" s="3" t="s">
        <v>15</v>
      </c>
    </row>
    <row r="4" spans="1:20" s="1" customFormat="1">
      <c r="A4" s="2" t="s">
        <v>16</v>
      </c>
      <c r="B4" s="3" t="s">
        <v>2</v>
      </c>
      <c r="C4" s="4" t="s">
        <v>17</v>
      </c>
      <c r="D4" s="4" t="s">
        <v>4</v>
      </c>
      <c r="E4" s="3" t="s">
        <v>18</v>
      </c>
      <c r="F4" s="3" t="s">
        <v>19</v>
      </c>
      <c r="G4" s="3" t="s">
        <v>20</v>
      </c>
      <c r="H4" s="3" t="s">
        <v>8</v>
      </c>
      <c r="I4" s="3" t="s">
        <v>21</v>
      </c>
      <c r="J4" s="5" t="s">
        <v>22</v>
      </c>
      <c r="K4" s="5" t="s">
        <v>11</v>
      </c>
      <c r="L4" s="3" t="s">
        <v>23</v>
      </c>
      <c r="M4" s="3" t="s">
        <v>24</v>
      </c>
      <c r="N4" s="5" t="s">
        <v>25</v>
      </c>
      <c r="O4" s="3" t="s">
        <v>26</v>
      </c>
    </row>
    <row r="5" spans="1:20">
      <c r="A5" s="55" t="s">
        <v>27</v>
      </c>
      <c r="B5" s="7" t="s">
        <v>28</v>
      </c>
      <c r="C5" s="8">
        <v>46029</v>
      </c>
      <c r="D5" s="8">
        <v>46029</v>
      </c>
      <c r="E5" s="9" t="s">
        <v>29</v>
      </c>
      <c r="F5" s="10" t="s">
        <v>30</v>
      </c>
      <c r="G5" s="11" t="s">
        <v>31</v>
      </c>
      <c r="H5" s="11" t="s">
        <v>32</v>
      </c>
      <c r="I5" s="11" t="s">
        <v>33</v>
      </c>
      <c r="J5" s="11">
        <v>2100</v>
      </c>
      <c r="K5" s="11" t="s">
        <v>34</v>
      </c>
      <c r="L5" s="12" t="s">
        <v>35</v>
      </c>
      <c r="M5" s="13"/>
      <c r="N5" s="14"/>
      <c r="O5" s="15"/>
      <c r="P5" s="16"/>
      <c r="Q5" s="17"/>
      <c r="R5" s="18"/>
      <c r="S5" s="16"/>
      <c r="T5" s="18"/>
    </row>
    <row r="6" spans="1:20">
      <c r="A6" s="56"/>
      <c r="B6" s="7" t="s">
        <v>28</v>
      </c>
      <c r="C6" s="8">
        <v>46029</v>
      </c>
      <c r="D6" s="8">
        <v>46029</v>
      </c>
      <c r="E6" s="9" t="s">
        <v>29</v>
      </c>
      <c r="F6" s="10" t="s">
        <v>30</v>
      </c>
      <c r="G6" s="11" t="s">
        <v>36</v>
      </c>
      <c r="H6" s="11" t="s">
        <v>37</v>
      </c>
      <c r="I6" s="11" t="s">
        <v>33</v>
      </c>
      <c r="J6" s="11">
        <v>688</v>
      </c>
      <c r="K6" s="11" t="s">
        <v>38</v>
      </c>
      <c r="L6" s="12" t="s">
        <v>35</v>
      </c>
      <c r="M6" s="13"/>
      <c r="N6" s="14"/>
      <c r="O6" s="15"/>
      <c r="P6" s="16"/>
      <c r="Q6" s="17"/>
      <c r="R6" s="18"/>
      <c r="S6" s="16"/>
      <c r="T6" s="18"/>
    </row>
    <row r="7" spans="1:20">
      <c r="A7" s="56"/>
      <c r="B7" s="7" t="s">
        <v>28</v>
      </c>
      <c r="C7" s="8">
        <v>46029</v>
      </c>
      <c r="D7" s="8">
        <v>46029</v>
      </c>
      <c r="E7" s="9" t="s">
        <v>29</v>
      </c>
      <c r="F7" s="10" t="s">
        <v>30</v>
      </c>
      <c r="G7" s="11" t="s">
        <v>39</v>
      </c>
      <c r="H7" s="11" t="s">
        <v>40</v>
      </c>
      <c r="I7" s="11" t="s">
        <v>33</v>
      </c>
      <c r="J7" s="11">
        <v>160</v>
      </c>
      <c r="K7" s="11" t="s">
        <v>38</v>
      </c>
      <c r="L7" s="12" t="s">
        <v>41</v>
      </c>
      <c r="M7" s="13"/>
      <c r="N7" s="14"/>
      <c r="O7" s="15"/>
      <c r="P7" s="16"/>
      <c r="Q7" s="17"/>
      <c r="R7" s="18"/>
      <c r="S7" s="16"/>
      <c r="T7" s="18"/>
    </row>
    <row r="8" spans="1:20">
      <c r="A8" s="56"/>
      <c r="B8" s="7" t="s">
        <v>28</v>
      </c>
      <c r="C8" s="8">
        <v>46029</v>
      </c>
      <c r="D8" s="8">
        <v>46029</v>
      </c>
      <c r="E8" s="9" t="s">
        <v>29</v>
      </c>
      <c r="F8" s="10" t="s">
        <v>30</v>
      </c>
      <c r="G8" s="11" t="s">
        <v>42</v>
      </c>
      <c r="H8" s="11" t="s">
        <v>43</v>
      </c>
      <c r="I8" s="11" t="s">
        <v>33</v>
      </c>
      <c r="J8" s="11">
        <v>7500</v>
      </c>
      <c r="K8" s="11" t="s">
        <v>38</v>
      </c>
      <c r="L8" s="12" t="s">
        <v>41</v>
      </c>
      <c r="M8" s="13"/>
      <c r="N8" s="14"/>
      <c r="O8" s="15"/>
      <c r="P8" s="16"/>
      <c r="Q8" s="17"/>
      <c r="R8" s="18"/>
      <c r="S8" s="16"/>
      <c r="T8" s="18"/>
    </row>
    <row r="9" spans="1:20">
      <c r="A9" s="56"/>
      <c r="B9" s="7" t="s">
        <v>28</v>
      </c>
      <c r="C9" s="8">
        <v>46029</v>
      </c>
      <c r="D9" s="8">
        <v>46029</v>
      </c>
      <c r="E9" s="9" t="s">
        <v>29</v>
      </c>
      <c r="F9" s="10" t="s">
        <v>30</v>
      </c>
      <c r="G9" s="11" t="s">
        <v>44</v>
      </c>
      <c r="H9" s="11" t="s">
        <v>45</v>
      </c>
      <c r="I9" s="11" t="s">
        <v>33</v>
      </c>
      <c r="J9" s="11">
        <v>823</v>
      </c>
      <c r="K9" s="11" t="s">
        <v>38</v>
      </c>
      <c r="L9" s="12" t="s">
        <v>35</v>
      </c>
      <c r="M9" s="13"/>
      <c r="N9" s="14"/>
      <c r="O9" s="15"/>
      <c r="P9" s="16"/>
      <c r="Q9" s="17"/>
      <c r="R9" s="18"/>
      <c r="S9" s="16"/>
      <c r="T9" s="18"/>
    </row>
    <row r="10" spans="1:20">
      <c r="A10" s="56"/>
      <c r="B10" s="7" t="s">
        <v>28</v>
      </c>
      <c r="C10" s="8">
        <v>46029</v>
      </c>
      <c r="D10" s="8">
        <v>46029</v>
      </c>
      <c r="E10" s="9" t="s">
        <v>29</v>
      </c>
      <c r="F10" s="10" t="s">
        <v>30</v>
      </c>
      <c r="G10" s="11" t="s">
        <v>48</v>
      </c>
      <c r="H10" s="11" t="s">
        <v>49</v>
      </c>
      <c r="I10" s="11" t="s">
        <v>33</v>
      </c>
      <c r="J10" s="11">
        <v>312</v>
      </c>
      <c r="K10" s="11" t="s">
        <v>38</v>
      </c>
      <c r="L10" s="12" t="s">
        <v>50</v>
      </c>
      <c r="M10" s="13"/>
      <c r="N10" s="14"/>
      <c r="O10" s="15"/>
      <c r="P10" s="16"/>
      <c r="Q10" s="17"/>
      <c r="R10" s="18"/>
      <c r="S10" s="16"/>
      <c r="T10" s="18"/>
    </row>
    <row r="11" spans="1:20">
      <c r="A11" s="56"/>
      <c r="B11" s="7" t="s">
        <v>28</v>
      </c>
      <c r="C11" s="8">
        <v>46037</v>
      </c>
      <c r="D11" s="8">
        <v>46037</v>
      </c>
      <c r="E11" s="9" t="s">
        <v>29</v>
      </c>
      <c r="F11" s="10" t="s">
        <v>30</v>
      </c>
      <c r="G11" s="11" t="s">
        <v>51</v>
      </c>
      <c r="H11" s="11" t="s">
        <v>52</v>
      </c>
      <c r="I11" s="11" t="s">
        <v>33</v>
      </c>
      <c r="J11" s="11">
        <v>2010</v>
      </c>
      <c r="K11" s="11" t="s">
        <v>34</v>
      </c>
      <c r="L11" s="12" t="s">
        <v>35</v>
      </c>
      <c r="M11" s="13"/>
      <c r="N11" s="14"/>
      <c r="O11" s="15"/>
      <c r="P11" s="16"/>
      <c r="Q11" s="17"/>
      <c r="R11" s="18"/>
      <c r="S11" s="16"/>
      <c r="T11" s="18"/>
    </row>
    <row r="12" spans="1:20">
      <c r="A12" s="56"/>
      <c r="B12" s="7" t="s">
        <v>28</v>
      </c>
      <c r="C12" s="8">
        <v>46037</v>
      </c>
      <c r="D12" s="8">
        <v>46037</v>
      </c>
      <c r="E12" s="9" t="s">
        <v>29</v>
      </c>
      <c r="F12" s="10" t="s">
        <v>30</v>
      </c>
      <c r="G12" s="11" t="s">
        <v>53</v>
      </c>
      <c r="H12" s="11" t="s">
        <v>54</v>
      </c>
      <c r="I12" s="11" t="s">
        <v>33</v>
      </c>
      <c r="J12" s="11">
        <v>1630</v>
      </c>
      <c r="K12" s="11" t="s">
        <v>55</v>
      </c>
      <c r="L12" s="12" t="s">
        <v>35</v>
      </c>
      <c r="M12" s="13"/>
      <c r="N12" s="14"/>
      <c r="O12" s="15"/>
      <c r="P12" s="16"/>
      <c r="Q12" s="17"/>
      <c r="R12" s="18"/>
      <c r="S12" s="16"/>
      <c r="T12" s="18"/>
    </row>
    <row r="13" spans="1:20">
      <c r="A13" s="56"/>
      <c r="B13" s="7" t="s">
        <v>28</v>
      </c>
      <c r="C13" s="8">
        <v>46045</v>
      </c>
      <c r="D13" s="8">
        <v>46045</v>
      </c>
      <c r="E13" s="9" t="s">
        <v>29</v>
      </c>
      <c r="F13" s="10" t="s">
        <v>30</v>
      </c>
      <c r="G13" s="11" t="s">
        <v>56</v>
      </c>
      <c r="H13" s="11" t="s">
        <v>57</v>
      </c>
      <c r="I13" s="11" t="s">
        <v>33</v>
      </c>
      <c r="J13" s="11">
        <v>1250</v>
      </c>
      <c r="K13" s="11" t="s">
        <v>34</v>
      </c>
      <c r="L13" s="12" t="s">
        <v>35</v>
      </c>
      <c r="M13" s="13"/>
      <c r="N13" s="14"/>
      <c r="O13" s="15"/>
      <c r="P13" s="16"/>
      <c r="Q13" s="17"/>
      <c r="R13" s="18"/>
      <c r="S13" s="16"/>
      <c r="T13" s="18"/>
    </row>
    <row r="14" spans="1:20">
      <c r="A14" s="56"/>
      <c r="B14" s="7" t="s">
        <v>28</v>
      </c>
      <c r="C14" s="8">
        <v>46045</v>
      </c>
      <c r="D14" s="8">
        <v>46045</v>
      </c>
      <c r="E14" s="9" t="s">
        <v>29</v>
      </c>
      <c r="F14" s="10" t="s">
        <v>30</v>
      </c>
      <c r="G14" s="11" t="s">
        <v>58</v>
      </c>
      <c r="H14" s="11" t="s">
        <v>59</v>
      </c>
      <c r="I14" s="11" t="s">
        <v>33</v>
      </c>
      <c r="J14" s="11">
        <v>2010</v>
      </c>
      <c r="K14" s="11" t="s">
        <v>34</v>
      </c>
      <c r="L14" s="12" t="s">
        <v>35</v>
      </c>
      <c r="M14" s="13"/>
      <c r="N14" s="14"/>
      <c r="O14" s="15"/>
      <c r="P14" s="16"/>
      <c r="Q14" s="17"/>
      <c r="R14" s="18"/>
      <c r="S14" s="16"/>
      <c r="T14" s="18"/>
    </row>
    <row r="15" spans="1:20">
      <c r="A15" s="57"/>
      <c r="B15" s="7" t="s">
        <v>28</v>
      </c>
      <c r="C15" s="8">
        <v>46053</v>
      </c>
      <c r="D15" s="8">
        <v>46053</v>
      </c>
      <c r="E15" s="9" t="s">
        <v>29</v>
      </c>
      <c r="F15" s="10" t="s">
        <v>30</v>
      </c>
      <c r="G15" s="11" t="s">
        <v>60</v>
      </c>
      <c r="H15" s="11" t="s">
        <v>61</v>
      </c>
      <c r="I15" s="11" t="s">
        <v>33</v>
      </c>
      <c r="J15" s="11">
        <v>5070</v>
      </c>
      <c r="K15" s="11" t="s">
        <v>38</v>
      </c>
      <c r="L15" s="12" t="s">
        <v>62</v>
      </c>
      <c r="M15" s="13"/>
      <c r="N15" s="14"/>
      <c r="O15" s="15"/>
      <c r="P15" s="16"/>
      <c r="Q15" s="17"/>
      <c r="R15" s="18"/>
      <c r="S15" s="16"/>
      <c r="T15" s="18"/>
    </row>
    <row r="16" spans="1:20" s="1" customFormat="1">
      <c r="A16" s="20"/>
      <c r="B16" s="21"/>
      <c r="C16" s="21"/>
      <c r="D16" s="21"/>
      <c r="E16" s="22"/>
      <c r="F16" s="22"/>
      <c r="G16" s="22"/>
      <c r="H16" s="22"/>
      <c r="I16" s="22"/>
      <c r="J16" s="23">
        <f>SUM(J5:J15)</f>
        <v>23553</v>
      </c>
      <c r="K16" s="23"/>
      <c r="L16" s="22"/>
      <c r="M16" s="24"/>
      <c r="N16" s="24"/>
      <c r="O16" s="25"/>
      <c r="P16" s="16"/>
      <c r="Q16" s="17"/>
      <c r="S16" s="16"/>
      <c r="T16" s="18"/>
    </row>
    <row r="17" spans="1:20" s="1" customFormat="1">
      <c r="A17" s="2" t="s">
        <v>46</v>
      </c>
      <c r="B17" s="3" t="s">
        <v>2</v>
      </c>
      <c r="C17" s="4" t="s">
        <v>17</v>
      </c>
      <c r="D17" s="4" t="s">
        <v>4</v>
      </c>
      <c r="E17" s="3" t="s">
        <v>18</v>
      </c>
      <c r="F17" s="3" t="s">
        <v>19</v>
      </c>
      <c r="G17" s="3" t="s">
        <v>20</v>
      </c>
      <c r="H17" s="3" t="s">
        <v>8</v>
      </c>
      <c r="I17" s="3" t="s">
        <v>21</v>
      </c>
      <c r="J17" s="5" t="s">
        <v>22</v>
      </c>
      <c r="K17" s="5" t="s">
        <v>11</v>
      </c>
      <c r="L17" s="3" t="s">
        <v>23</v>
      </c>
      <c r="M17" s="3" t="s">
        <v>24</v>
      </c>
      <c r="N17" s="5" t="s">
        <v>25</v>
      </c>
      <c r="O17" s="3" t="s">
        <v>26</v>
      </c>
      <c r="P17" s="16"/>
      <c r="Q17" s="17"/>
      <c r="S17" s="16"/>
      <c r="T17" s="18"/>
    </row>
    <row r="18" spans="1:20">
      <c r="A18" s="55" t="s">
        <v>47</v>
      </c>
      <c r="B18" s="7" t="s">
        <v>28</v>
      </c>
      <c r="C18" s="8">
        <v>46053</v>
      </c>
      <c r="D18" s="8">
        <v>46053</v>
      </c>
      <c r="E18" s="9" t="s">
        <v>29</v>
      </c>
      <c r="F18" s="10" t="s">
        <v>30</v>
      </c>
      <c r="G18" s="11" t="s">
        <v>64</v>
      </c>
      <c r="H18" s="11" t="s">
        <v>65</v>
      </c>
      <c r="I18" s="11" t="s">
        <v>33</v>
      </c>
      <c r="J18" s="11">
        <v>500</v>
      </c>
      <c r="K18" s="11" t="s">
        <v>38</v>
      </c>
      <c r="L18" s="12" t="s">
        <v>66</v>
      </c>
      <c r="M18" s="13"/>
      <c r="N18" s="14"/>
      <c r="O18" s="15"/>
      <c r="P18" s="16"/>
      <c r="Q18" s="17"/>
      <c r="R18" s="18"/>
      <c r="S18" s="16"/>
      <c r="T18" s="18"/>
    </row>
    <row r="19" spans="1:20">
      <c r="A19" s="56"/>
      <c r="B19" s="7" t="s">
        <v>28</v>
      </c>
      <c r="C19" s="8">
        <v>46053</v>
      </c>
      <c r="D19" s="8">
        <v>46053</v>
      </c>
      <c r="E19" s="9" t="s">
        <v>29</v>
      </c>
      <c r="F19" s="10" t="s">
        <v>30</v>
      </c>
      <c r="G19" s="11" t="s">
        <v>67</v>
      </c>
      <c r="H19" s="11" t="s">
        <v>68</v>
      </c>
      <c r="I19" s="11" t="s">
        <v>33</v>
      </c>
      <c r="J19" s="11">
        <v>180</v>
      </c>
      <c r="K19" s="11" t="s">
        <v>38</v>
      </c>
      <c r="L19" s="12" t="s">
        <v>69</v>
      </c>
      <c r="M19" s="13"/>
      <c r="N19" s="14"/>
      <c r="O19" s="15"/>
      <c r="P19" s="16"/>
      <c r="Q19" s="17"/>
      <c r="R19" s="18"/>
      <c r="S19" s="16"/>
      <c r="T19" s="18"/>
    </row>
    <row r="20" spans="1:20">
      <c r="A20" s="56"/>
      <c r="B20" s="7" t="s">
        <v>28</v>
      </c>
      <c r="C20" s="8">
        <v>46053</v>
      </c>
      <c r="D20" s="8">
        <v>46053</v>
      </c>
      <c r="E20" s="9" t="s">
        <v>29</v>
      </c>
      <c r="F20" s="10" t="s">
        <v>30</v>
      </c>
      <c r="G20" s="11" t="s">
        <v>70</v>
      </c>
      <c r="H20" s="11" t="s">
        <v>71</v>
      </c>
      <c r="I20" s="11" t="s">
        <v>33</v>
      </c>
      <c r="J20" s="11">
        <v>660</v>
      </c>
      <c r="K20" s="11" t="s">
        <v>38</v>
      </c>
      <c r="L20" s="12" t="s">
        <v>72</v>
      </c>
      <c r="M20" s="13"/>
      <c r="N20" s="14"/>
      <c r="O20" s="15"/>
      <c r="P20" s="16"/>
      <c r="Q20" s="17"/>
      <c r="R20" s="18"/>
      <c r="S20" s="16"/>
      <c r="T20" s="18"/>
    </row>
    <row r="21" spans="1:20">
      <c r="A21" s="56"/>
      <c r="B21" s="7" t="s">
        <v>28</v>
      </c>
      <c r="C21" s="8">
        <v>46053</v>
      </c>
      <c r="D21" s="8">
        <v>46053</v>
      </c>
      <c r="E21" s="9" t="s">
        <v>29</v>
      </c>
      <c r="F21" s="10" t="s">
        <v>30</v>
      </c>
      <c r="G21" s="11" t="s">
        <v>73</v>
      </c>
      <c r="H21" s="11" t="s">
        <v>74</v>
      </c>
      <c r="I21" s="11" t="s">
        <v>33</v>
      </c>
      <c r="J21" s="11">
        <v>301</v>
      </c>
      <c r="K21" s="11" t="s">
        <v>38</v>
      </c>
      <c r="L21" s="12" t="s">
        <v>69</v>
      </c>
      <c r="M21" s="13"/>
      <c r="N21" s="14"/>
      <c r="O21" s="15"/>
      <c r="P21" s="16"/>
      <c r="Q21" s="17"/>
      <c r="R21" s="18"/>
      <c r="S21" s="16"/>
      <c r="T21" s="18"/>
    </row>
    <row r="22" spans="1:20">
      <c r="A22" s="56"/>
      <c r="B22" s="7" t="s">
        <v>28</v>
      </c>
      <c r="C22" s="8">
        <v>46053</v>
      </c>
      <c r="D22" s="8">
        <v>46053</v>
      </c>
      <c r="E22" s="9" t="s">
        <v>29</v>
      </c>
      <c r="F22" s="10" t="s">
        <v>30</v>
      </c>
      <c r="G22" s="11" t="s">
        <v>75</v>
      </c>
      <c r="H22" s="11" t="s">
        <v>76</v>
      </c>
      <c r="I22" s="11" t="s">
        <v>33</v>
      </c>
      <c r="J22" s="11">
        <v>2054</v>
      </c>
      <c r="K22" s="11" t="s">
        <v>38</v>
      </c>
      <c r="L22" s="12" t="s">
        <v>77</v>
      </c>
      <c r="M22" s="13"/>
      <c r="N22" s="14"/>
      <c r="O22" s="15"/>
      <c r="P22" s="16"/>
      <c r="Q22" s="17"/>
      <c r="R22" s="18"/>
      <c r="S22" s="16"/>
      <c r="T22" s="18"/>
    </row>
    <row r="23" spans="1:20">
      <c r="A23" s="56"/>
      <c r="B23" s="7" t="s">
        <v>28</v>
      </c>
      <c r="C23" s="8">
        <v>46053</v>
      </c>
      <c r="D23" s="8">
        <v>46053</v>
      </c>
      <c r="E23" s="9" t="s">
        <v>29</v>
      </c>
      <c r="F23" s="10" t="s">
        <v>30</v>
      </c>
      <c r="G23" s="11" t="s">
        <v>78</v>
      </c>
      <c r="H23" s="11" t="s">
        <v>79</v>
      </c>
      <c r="I23" s="11" t="s">
        <v>33</v>
      </c>
      <c r="J23" s="11">
        <v>2004</v>
      </c>
      <c r="K23" s="11" t="s">
        <v>38</v>
      </c>
      <c r="L23" s="12" t="s">
        <v>80</v>
      </c>
      <c r="M23" s="13"/>
      <c r="N23" s="14"/>
      <c r="O23" s="15"/>
      <c r="P23" s="16"/>
      <c r="Q23" s="17"/>
      <c r="R23" s="18"/>
      <c r="S23" s="16"/>
      <c r="T23" s="18"/>
    </row>
    <row r="24" spans="1:20">
      <c r="A24" s="56"/>
      <c r="B24" s="7" t="s">
        <v>28</v>
      </c>
      <c r="C24" s="8">
        <v>46053</v>
      </c>
      <c r="D24" s="8">
        <v>46053</v>
      </c>
      <c r="E24" s="9" t="s">
        <v>138</v>
      </c>
      <c r="F24" s="10" t="s">
        <v>30</v>
      </c>
      <c r="G24" s="11" t="s">
        <v>139</v>
      </c>
      <c r="H24" s="11" t="s">
        <v>140</v>
      </c>
      <c r="I24" s="11" t="s">
        <v>141</v>
      </c>
      <c r="J24" s="11">
        <v>434</v>
      </c>
      <c r="K24" s="11" t="s">
        <v>38</v>
      </c>
      <c r="L24" s="12" t="s">
        <v>72</v>
      </c>
      <c r="M24" s="13"/>
      <c r="N24" s="14"/>
      <c r="O24" s="15"/>
      <c r="P24" s="16"/>
      <c r="Q24" s="17"/>
      <c r="R24" s="18"/>
      <c r="S24" s="16"/>
      <c r="T24" s="18"/>
    </row>
    <row r="25" spans="1:20">
      <c r="A25" s="56"/>
      <c r="B25" s="7" t="s">
        <v>28</v>
      </c>
      <c r="C25" s="8">
        <v>46053</v>
      </c>
      <c r="D25" s="8">
        <v>46053</v>
      </c>
      <c r="E25" s="9" t="s">
        <v>138</v>
      </c>
      <c r="F25" s="10" t="s">
        <v>30</v>
      </c>
      <c r="G25" s="11" t="s">
        <v>142</v>
      </c>
      <c r="H25" s="11" t="s">
        <v>143</v>
      </c>
      <c r="I25" s="11" t="s">
        <v>141</v>
      </c>
      <c r="J25" s="11">
        <v>249</v>
      </c>
      <c r="K25" s="11" t="s">
        <v>38</v>
      </c>
      <c r="L25" s="12" t="s">
        <v>69</v>
      </c>
      <c r="M25" s="13"/>
      <c r="N25" s="14"/>
      <c r="O25" s="15"/>
      <c r="P25" s="16"/>
      <c r="Q25" s="17"/>
      <c r="R25" s="18"/>
      <c r="S25" s="16"/>
      <c r="T25" s="18"/>
    </row>
    <row r="26" spans="1:20">
      <c r="A26" s="56"/>
      <c r="B26" s="7" t="s">
        <v>28</v>
      </c>
      <c r="C26" s="8">
        <v>46053</v>
      </c>
      <c r="D26" s="8">
        <v>46053</v>
      </c>
      <c r="E26" s="9" t="s">
        <v>138</v>
      </c>
      <c r="F26" s="10" t="s">
        <v>30</v>
      </c>
      <c r="G26" s="11" t="s">
        <v>150</v>
      </c>
      <c r="H26" s="11" t="s">
        <v>151</v>
      </c>
      <c r="I26" s="11" t="s">
        <v>141</v>
      </c>
      <c r="J26" s="11">
        <v>864</v>
      </c>
      <c r="K26" s="11" t="s">
        <v>38</v>
      </c>
      <c r="L26" s="12" t="s">
        <v>80</v>
      </c>
      <c r="M26" s="13"/>
      <c r="N26" s="14"/>
      <c r="O26" s="15"/>
      <c r="P26" s="16"/>
      <c r="Q26" s="17"/>
      <c r="R26" s="18"/>
      <c r="S26" s="16"/>
      <c r="T26" s="18"/>
    </row>
    <row r="27" spans="1:20">
      <c r="A27" s="56"/>
      <c r="B27" s="7" t="s">
        <v>28</v>
      </c>
      <c r="C27" s="8">
        <v>45976</v>
      </c>
      <c r="D27" s="8">
        <v>46029</v>
      </c>
      <c r="E27" s="9" t="s">
        <v>95</v>
      </c>
      <c r="F27" s="10" t="s">
        <v>30</v>
      </c>
      <c r="G27" s="11" t="s">
        <v>96</v>
      </c>
      <c r="H27" s="11" t="s">
        <v>97</v>
      </c>
      <c r="I27" s="11" t="s">
        <v>98</v>
      </c>
      <c r="J27" s="11">
        <v>1652</v>
      </c>
      <c r="K27" s="11" t="s">
        <v>38</v>
      </c>
      <c r="L27" s="12" t="s">
        <v>99</v>
      </c>
      <c r="M27" s="13"/>
      <c r="N27" s="14"/>
      <c r="O27" s="15"/>
      <c r="P27" s="16"/>
      <c r="Q27" s="17"/>
      <c r="R27" s="18"/>
      <c r="S27" s="16"/>
      <c r="T27" s="18"/>
    </row>
    <row r="28" spans="1:20">
      <c r="A28" s="56"/>
      <c r="B28" s="7" t="s">
        <v>28</v>
      </c>
      <c r="C28" s="8">
        <v>46029</v>
      </c>
      <c r="D28" s="8">
        <v>46029</v>
      </c>
      <c r="E28" s="9" t="s">
        <v>100</v>
      </c>
      <c r="F28" s="10" t="s">
        <v>30</v>
      </c>
      <c r="G28" s="11" t="s">
        <v>101</v>
      </c>
      <c r="H28" s="11" t="s">
        <v>102</v>
      </c>
      <c r="I28" s="11" t="s">
        <v>103</v>
      </c>
      <c r="J28" s="11">
        <v>354</v>
      </c>
      <c r="K28" s="11" t="s">
        <v>55</v>
      </c>
      <c r="L28" s="12" t="s">
        <v>35</v>
      </c>
      <c r="M28" s="13"/>
      <c r="N28" s="14"/>
      <c r="O28" s="15"/>
      <c r="P28" s="16"/>
      <c r="Q28" s="17"/>
      <c r="R28" s="18"/>
      <c r="S28" s="16"/>
      <c r="T28" s="18"/>
    </row>
    <row r="29" spans="1:20">
      <c r="A29" s="56"/>
      <c r="B29" s="7" t="s">
        <v>28</v>
      </c>
      <c r="C29" s="8">
        <v>46037</v>
      </c>
      <c r="D29" s="8">
        <v>46037</v>
      </c>
      <c r="E29" s="9" t="s">
        <v>100</v>
      </c>
      <c r="F29" s="10" t="s">
        <v>30</v>
      </c>
      <c r="G29" s="11" t="s">
        <v>110</v>
      </c>
      <c r="H29" s="11" t="s">
        <v>111</v>
      </c>
      <c r="I29" s="11" t="s">
        <v>103</v>
      </c>
      <c r="J29" s="11">
        <v>870</v>
      </c>
      <c r="K29" s="11" t="s">
        <v>38</v>
      </c>
      <c r="L29" s="12" t="s">
        <v>35</v>
      </c>
      <c r="M29" s="13"/>
      <c r="N29" s="14"/>
      <c r="O29" s="15"/>
      <c r="P29" s="16"/>
      <c r="Q29" s="17"/>
      <c r="R29" s="18"/>
      <c r="S29" s="16"/>
      <c r="T29" s="18"/>
    </row>
    <row r="30" spans="1:20">
      <c r="A30" s="56"/>
      <c r="B30" s="7" t="s">
        <v>28</v>
      </c>
      <c r="C30" s="8">
        <v>46053</v>
      </c>
      <c r="D30" s="8">
        <v>46053</v>
      </c>
      <c r="E30" s="9" t="s">
        <v>100</v>
      </c>
      <c r="F30" s="10" t="s">
        <v>30</v>
      </c>
      <c r="G30" s="11" t="s">
        <v>126</v>
      </c>
      <c r="H30" s="11" t="s">
        <v>127</v>
      </c>
      <c r="I30" s="11" t="s">
        <v>103</v>
      </c>
      <c r="J30" s="11">
        <v>450</v>
      </c>
      <c r="K30" s="11" t="s">
        <v>34</v>
      </c>
      <c r="L30" s="12" t="s">
        <v>128</v>
      </c>
      <c r="M30" s="13"/>
      <c r="N30" s="14"/>
      <c r="O30" s="15"/>
      <c r="P30" s="16"/>
      <c r="Q30" s="17"/>
      <c r="R30" s="18"/>
      <c r="S30" s="16"/>
      <c r="T30" s="18"/>
    </row>
    <row r="31" spans="1:20">
      <c r="A31" s="56"/>
      <c r="B31" s="7" t="s">
        <v>28</v>
      </c>
      <c r="C31" s="8">
        <v>46053</v>
      </c>
      <c r="D31" s="8">
        <v>46053</v>
      </c>
      <c r="E31" s="9" t="s">
        <v>100</v>
      </c>
      <c r="F31" s="10" t="s">
        <v>30</v>
      </c>
      <c r="G31" s="11" t="s">
        <v>144</v>
      </c>
      <c r="H31" s="11" t="s">
        <v>145</v>
      </c>
      <c r="I31" s="11" t="s">
        <v>103</v>
      </c>
      <c r="J31" s="11">
        <v>3595</v>
      </c>
      <c r="K31" s="11" t="s">
        <v>38</v>
      </c>
      <c r="L31" s="12" t="s">
        <v>80</v>
      </c>
      <c r="M31" s="13"/>
      <c r="N31" s="14"/>
      <c r="O31" s="15"/>
      <c r="P31" s="16"/>
      <c r="Q31" s="17"/>
      <c r="R31" s="18"/>
      <c r="S31" s="16"/>
      <c r="T31" s="18"/>
    </row>
    <row r="32" spans="1:20">
      <c r="A32" s="56"/>
      <c r="B32" s="7" t="s">
        <v>28</v>
      </c>
      <c r="C32" s="8">
        <v>46053</v>
      </c>
      <c r="D32" s="8">
        <v>46053</v>
      </c>
      <c r="E32" s="9" t="s">
        <v>100</v>
      </c>
      <c r="F32" s="10" t="s">
        <v>30</v>
      </c>
      <c r="G32" s="11" t="s">
        <v>146</v>
      </c>
      <c r="H32" s="11" t="s">
        <v>147</v>
      </c>
      <c r="I32" s="11" t="s">
        <v>103</v>
      </c>
      <c r="J32" s="11">
        <v>869</v>
      </c>
      <c r="K32" s="11" t="s">
        <v>38</v>
      </c>
      <c r="L32" s="12" t="s">
        <v>80</v>
      </c>
      <c r="M32" s="13"/>
      <c r="N32" s="14"/>
      <c r="O32" s="15"/>
      <c r="P32" s="16"/>
      <c r="Q32" s="17"/>
      <c r="R32" s="18"/>
      <c r="S32" s="16"/>
      <c r="T32" s="18"/>
    </row>
    <row r="33" spans="1:20">
      <c r="A33" s="56"/>
      <c r="B33" s="7" t="s">
        <v>28</v>
      </c>
      <c r="C33" s="8">
        <v>46053</v>
      </c>
      <c r="D33" s="8">
        <v>46053</v>
      </c>
      <c r="E33" s="9" t="s">
        <v>100</v>
      </c>
      <c r="F33" s="10" t="s">
        <v>30</v>
      </c>
      <c r="G33" s="11" t="s">
        <v>148</v>
      </c>
      <c r="H33" s="11" t="s">
        <v>149</v>
      </c>
      <c r="I33" s="11" t="s">
        <v>103</v>
      </c>
      <c r="J33" s="11">
        <v>354</v>
      </c>
      <c r="K33" s="11" t="s">
        <v>38</v>
      </c>
      <c r="L33" s="12" t="s">
        <v>80</v>
      </c>
      <c r="M33" s="13"/>
      <c r="N33" s="14"/>
      <c r="O33" s="15"/>
      <c r="P33" s="16"/>
      <c r="Q33" s="17"/>
      <c r="R33" s="18"/>
      <c r="S33" s="16"/>
      <c r="T33" s="18"/>
    </row>
    <row r="34" spans="1:20">
      <c r="A34" s="56"/>
      <c r="B34" s="7" t="s">
        <v>28</v>
      </c>
      <c r="C34" s="8">
        <v>46037</v>
      </c>
      <c r="D34" s="8">
        <v>46037</v>
      </c>
      <c r="E34" s="9" t="s">
        <v>104</v>
      </c>
      <c r="F34" s="10" t="s">
        <v>30</v>
      </c>
      <c r="G34" s="11" t="s">
        <v>105</v>
      </c>
      <c r="H34" s="11" t="s">
        <v>106</v>
      </c>
      <c r="I34" s="11" t="s">
        <v>107</v>
      </c>
      <c r="J34" s="11">
        <v>724</v>
      </c>
      <c r="K34" s="11" t="s">
        <v>108</v>
      </c>
      <c r="L34" s="12" t="s">
        <v>109</v>
      </c>
      <c r="M34" s="13"/>
      <c r="N34" s="14"/>
      <c r="O34" s="15"/>
      <c r="P34" s="16"/>
      <c r="Q34" s="17"/>
      <c r="R34" s="18"/>
      <c r="S34" s="16"/>
      <c r="T34" s="18"/>
    </row>
    <row r="35" spans="1:20">
      <c r="A35" s="57"/>
      <c r="B35" s="7" t="s">
        <v>28</v>
      </c>
      <c r="C35" s="8">
        <v>46053</v>
      </c>
      <c r="D35" s="8">
        <v>46053</v>
      </c>
      <c r="E35" s="9" t="s">
        <v>104</v>
      </c>
      <c r="F35" s="10" t="s">
        <v>30</v>
      </c>
      <c r="G35" s="11" t="s">
        <v>116</v>
      </c>
      <c r="H35" s="11" t="s">
        <v>117</v>
      </c>
      <c r="I35" s="11" t="s">
        <v>118</v>
      </c>
      <c r="J35" s="11">
        <v>6445</v>
      </c>
      <c r="K35" s="11" t="s">
        <v>38</v>
      </c>
      <c r="L35" s="12" t="s">
        <v>62</v>
      </c>
      <c r="M35" s="13"/>
      <c r="N35" s="14"/>
      <c r="O35" s="15"/>
      <c r="P35" s="16"/>
      <c r="Q35" s="17"/>
      <c r="R35" s="18"/>
      <c r="S35" s="16"/>
      <c r="T35" s="18"/>
    </row>
    <row r="36" spans="1:20" s="1" customFormat="1">
      <c r="A36" s="20"/>
      <c r="B36" s="21"/>
      <c r="C36" s="21"/>
      <c r="D36" s="21"/>
      <c r="E36" s="22"/>
      <c r="F36" s="22"/>
      <c r="G36" s="22"/>
      <c r="H36" s="22"/>
      <c r="I36" s="22"/>
      <c r="J36" s="23">
        <f>SUM(J18:J35)</f>
        <v>22559</v>
      </c>
      <c r="K36" s="23"/>
      <c r="L36" s="22"/>
      <c r="M36" s="24"/>
      <c r="N36" s="24"/>
      <c r="O36" s="25"/>
      <c r="P36" s="16"/>
      <c r="Q36" s="17"/>
      <c r="S36" s="16"/>
      <c r="T36" s="18"/>
    </row>
    <row r="37" spans="1:20" s="1" customFormat="1">
      <c r="A37" s="2" t="s">
        <v>46</v>
      </c>
      <c r="B37" s="3" t="s">
        <v>2</v>
      </c>
      <c r="C37" s="4" t="s">
        <v>17</v>
      </c>
      <c r="D37" s="4" t="s">
        <v>4</v>
      </c>
      <c r="E37" s="3" t="s">
        <v>18</v>
      </c>
      <c r="F37" s="3" t="s">
        <v>19</v>
      </c>
      <c r="G37" s="3" t="s">
        <v>20</v>
      </c>
      <c r="H37" s="3" t="s">
        <v>8</v>
      </c>
      <c r="I37" s="3" t="s">
        <v>21</v>
      </c>
      <c r="J37" s="5" t="s">
        <v>22</v>
      </c>
      <c r="K37" s="5" t="s">
        <v>11</v>
      </c>
      <c r="L37" s="3" t="s">
        <v>23</v>
      </c>
      <c r="M37" s="3" t="s">
        <v>24</v>
      </c>
      <c r="N37" s="5" t="s">
        <v>25</v>
      </c>
      <c r="O37" s="3" t="s">
        <v>26</v>
      </c>
      <c r="P37" s="16"/>
      <c r="Q37" s="17"/>
      <c r="S37" s="16"/>
      <c r="T37" s="18"/>
    </row>
    <row r="38" spans="1:20">
      <c r="A38" s="55" t="s">
        <v>63</v>
      </c>
      <c r="B38" s="7" t="s">
        <v>28</v>
      </c>
      <c r="C38" s="8">
        <v>46053</v>
      </c>
      <c r="D38" s="8">
        <v>46053</v>
      </c>
      <c r="E38" s="9" t="s">
        <v>104</v>
      </c>
      <c r="F38" s="10" t="s">
        <v>30</v>
      </c>
      <c r="G38" s="11" t="s">
        <v>119</v>
      </c>
      <c r="H38" s="11" t="s">
        <v>120</v>
      </c>
      <c r="I38" s="11" t="s">
        <v>118</v>
      </c>
      <c r="J38" s="11">
        <v>150</v>
      </c>
      <c r="K38" s="11" t="s">
        <v>34</v>
      </c>
      <c r="L38" s="12" t="s">
        <v>121</v>
      </c>
      <c r="M38" s="13"/>
      <c r="N38" s="14"/>
      <c r="O38" s="15"/>
      <c r="P38" s="16"/>
      <c r="Q38" s="17"/>
      <c r="R38" s="18"/>
      <c r="S38" s="16"/>
      <c r="T38" s="18"/>
    </row>
    <row r="39" spans="1:20">
      <c r="A39" s="56"/>
      <c r="B39" s="7" t="s">
        <v>28</v>
      </c>
      <c r="C39" s="8">
        <v>46053</v>
      </c>
      <c r="D39" s="8">
        <v>46053</v>
      </c>
      <c r="E39" s="9" t="s">
        <v>104</v>
      </c>
      <c r="F39" s="10" t="s">
        <v>30</v>
      </c>
      <c r="G39" s="11" t="s">
        <v>122</v>
      </c>
      <c r="H39" s="11" t="s">
        <v>123</v>
      </c>
      <c r="I39" s="11" t="s">
        <v>118</v>
      </c>
      <c r="J39" s="11">
        <v>709</v>
      </c>
      <c r="K39" s="11" t="s">
        <v>34</v>
      </c>
      <c r="L39" s="12" t="s">
        <v>121</v>
      </c>
      <c r="M39" s="13"/>
      <c r="N39" s="14"/>
      <c r="O39" s="15"/>
      <c r="P39" s="16"/>
      <c r="Q39" s="17"/>
      <c r="R39" s="18"/>
      <c r="S39" s="16"/>
      <c r="T39" s="18"/>
    </row>
    <row r="40" spans="1:20">
      <c r="A40" s="56"/>
      <c r="B40" s="7" t="s">
        <v>28</v>
      </c>
      <c r="C40" s="8">
        <v>46053</v>
      </c>
      <c r="D40" s="8">
        <v>46053</v>
      </c>
      <c r="E40" s="9" t="s">
        <v>112</v>
      </c>
      <c r="F40" s="10" t="s">
        <v>30</v>
      </c>
      <c r="G40" s="11" t="s">
        <v>113</v>
      </c>
      <c r="H40" s="11" t="s">
        <v>114</v>
      </c>
      <c r="I40" s="11" t="s">
        <v>115</v>
      </c>
      <c r="J40" s="11">
        <v>10610</v>
      </c>
      <c r="K40" s="11" t="s">
        <v>38</v>
      </c>
      <c r="L40" s="12" t="s">
        <v>62</v>
      </c>
      <c r="M40" s="13"/>
      <c r="N40" s="14"/>
      <c r="O40" s="15"/>
      <c r="P40" s="16"/>
      <c r="Q40" s="17"/>
      <c r="R40" s="18"/>
      <c r="S40" s="16"/>
      <c r="T40" s="18"/>
    </row>
    <row r="41" spans="1:20">
      <c r="A41" s="56"/>
      <c r="B41" s="7" t="s">
        <v>28</v>
      </c>
      <c r="C41" s="8">
        <v>46053</v>
      </c>
      <c r="D41" s="8">
        <v>46053</v>
      </c>
      <c r="E41" s="9" t="s">
        <v>112</v>
      </c>
      <c r="F41" s="10" t="s">
        <v>30</v>
      </c>
      <c r="G41" s="11" t="s">
        <v>124</v>
      </c>
      <c r="H41" s="11" t="s">
        <v>125</v>
      </c>
      <c r="I41" s="11" t="s">
        <v>115</v>
      </c>
      <c r="J41" s="11">
        <v>150</v>
      </c>
      <c r="K41" s="11" t="s">
        <v>34</v>
      </c>
      <c r="L41" s="12" t="s">
        <v>121</v>
      </c>
      <c r="M41" s="13"/>
      <c r="N41" s="14"/>
      <c r="O41" s="15"/>
      <c r="P41" s="16"/>
      <c r="Q41" s="17"/>
      <c r="R41" s="18"/>
      <c r="S41" s="16"/>
      <c r="T41" s="18"/>
    </row>
    <row r="42" spans="1:20">
      <c r="A42" s="56"/>
      <c r="B42" s="7" t="s">
        <v>28</v>
      </c>
      <c r="C42" s="8">
        <v>46053</v>
      </c>
      <c r="D42" s="8">
        <v>46053</v>
      </c>
      <c r="E42" s="9" t="s">
        <v>129</v>
      </c>
      <c r="F42" s="10" t="s">
        <v>30</v>
      </c>
      <c r="G42" s="11" t="s">
        <v>130</v>
      </c>
      <c r="H42" s="11" t="s">
        <v>131</v>
      </c>
      <c r="I42" s="11" t="s">
        <v>132</v>
      </c>
      <c r="J42" s="11">
        <v>5400</v>
      </c>
      <c r="K42" s="11" t="s">
        <v>38</v>
      </c>
      <c r="L42" s="12" t="s">
        <v>35</v>
      </c>
      <c r="M42" s="13"/>
      <c r="N42" s="14"/>
      <c r="O42" s="15"/>
      <c r="P42" s="16"/>
      <c r="Q42" s="17"/>
      <c r="R42" s="18"/>
      <c r="S42" s="16"/>
      <c r="T42" s="18"/>
    </row>
    <row r="43" spans="1:20">
      <c r="A43" s="56"/>
      <c r="B43" s="7" t="s">
        <v>28</v>
      </c>
      <c r="C43" s="8">
        <v>46053</v>
      </c>
      <c r="D43" s="8">
        <v>46053</v>
      </c>
      <c r="E43" s="9" t="s">
        <v>129</v>
      </c>
      <c r="F43" s="10" t="s">
        <v>30</v>
      </c>
      <c r="G43" s="11" t="s">
        <v>133</v>
      </c>
      <c r="H43" s="11" t="s">
        <v>134</v>
      </c>
      <c r="I43" s="11" t="s">
        <v>132</v>
      </c>
      <c r="J43" s="11">
        <v>5400</v>
      </c>
      <c r="K43" s="11" t="s">
        <v>38</v>
      </c>
      <c r="L43" s="12" t="s">
        <v>35</v>
      </c>
      <c r="M43" s="13"/>
      <c r="N43" s="14"/>
      <c r="O43" s="15"/>
      <c r="P43" s="16"/>
      <c r="Q43" s="17"/>
      <c r="R43" s="18"/>
      <c r="S43" s="16"/>
      <c r="T43" s="18"/>
    </row>
    <row r="44" spans="1:20">
      <c r="A44" s="57"/>
      <c r="B44" s="7" t="s">
        <v>28</v>
      </c>
      <c r="C44" s="8">
        <v>46053</v>
      </c>
      <c r="D44" s="8">
        <v>46053</v>
      </c>
      <c r="E44" s="9" t="s">
        <v>129</v>
      </c>
      <c r="F44" s="10" t="s">
        <v>30</v>
      </c>
      <c r="G44" s="11" t="s">
        <v>135</v>
      </c>
      <c r="H44" s="11" t="s">
        <v>136</v>
      </c>
      <c r="I44" s="11" t="s">
        <v>137</v>
      </c>
      <c r="J44" s="11">
        <v>4600</v>
      </c>
      <c r="K44" s="11" t="s">
        <v>55</v>
      </c>
      <c r="L44" s="12" t="s">
        <v>35</v>
      </c>
      <c r="M44" s="13"/>
      <c r="N44" s="14"/>
      <c r="O44" s="15"/>
      <c r="P44" s="16"/>
      <c r="Q44" s="17"/>
      <c r="R44" s="18"/>
      <c r="S44" s="16"/>
      <c r="T44" s="18"/>
    </row>
    <row r="45" spans="1:20" s="1" customFormat="1">
      <c r="A45" s="20"/>
      <c r="B45" s="21"/>
      <c r="C45" s="21"/>
      <c r="D45" s="21"/>
      <c r="E45" s="22"/>
      <c r="F45" s="22"/>
      <c r="G45" s="22"/>
      <c r="H45" s="22"/>
      <c r="I45" s="22"/>
      <c r="J45" s="23">
        <f>SUM(J38:J44)</f>
        <v>27019</v>
      </c>
      <c r="K45" s="23"/>
      <c r="L45" s="22"/>
      <c r="M45" s="24"/>
      <c r="N45" s="14"/>
      <c r="O45" s="25"/>
      <c r="P45" s="16"/>
      <c r="Q45" s="17"/>
      <c r="S45" s="16"/>
      <c r="T45" s="18"/>
    </row>
    <row r="46" spans="1:20" s="1" customFormat="1">
      <c r="A46" s="20"/>
      <c r="B46" s="21"/>
      <c r="C46" s="21"/>
      <c r="D46" s="21"/>
      <c r="E46" s="22" t="s">
        <v>81</v>
      </c>
      <c r="F46" s="22"/>
      <c r="G46" s="22"/>
      <c r="H46" s="22"/>
      <c r="I46" s="22"/>
      <c r="J46" s="26" t="str">
        <f>"TOTAL:"&amp;SUM(J4:J45)/2</f>
        <v>TOTAL:73131</v>
      </c>
      <c r="K46" s="23"/>
      <c r="L46" s="22"/>
      <c r="M46" s="24"/>
      <c r="N46" s="24"/>
      <c r="O46" s="25"/>
      <c r="P46" s="16"/>
      <c r="Q46" s="17"/>
      <c r="S46" s="16"/>
      <c r="T46" s="18"/>
    </row>
    <row r="47" spans="1:20" s="29" customFormat="1">
      <c r="A47" s="27" t="s">
        <v>82</v>
      </c>
      <c r="B47" s="28">
        <v>45998</v>
      </c>
      <c r="C47" s="28">
        <v>45999</v>
      </c>
      <c r="D47" s="28">
        <v>46000</v>
      </c>
      <c r="E47" s="28">
        <v>46001</v>
      </c>
      <c r="F47" s="28">
        <v>46002</v>
      </c>
      <c r="G47" s="28">
        <v>46003</v>
      </c>
      <c r="H47" s="28">
        <v>46004</v>
      </c>
      <c r="I47" s="28">
        <v>46005</v>
      </c>
      <c r="J47" s="28">
        <v>46006</v>
      </c>
      <c r="K47" s="28">
        <v>46007</v>
      </c>
      <c r="L47" s="28">
        <v>46008</v>
      </c>
      <c r="M47" s="28">
        <v>46009</v>
      </c>
      <c r="N47" s="28">
        <v>46010</v>
      </c>
      <c r="O47" s="28">
        <v>46011</v>
      </c>
      <c r="P47" s="16"/>
      <c r="Q47" s="17"/>
      <c r="S47" s="16"/>
      <c r="T47" s="18"/>
    </row>
    <row r="48" spans="1:20" s="33" customFormat="1">
      <c r="A48" s="30" t="s">
        <v>83</v>
      </c>
      <c r="B48" s="31"/>
      <c r="C48" s="32">
        <v>650</v>
      </c>
      <c r="D48" s="32">
        <v>650</v>
      </c>
      <c r="E48" s="32">
        <v>650</v>
      </c>
      <c r="F48" s="32">
        <v>650</v>
      </c>
      <c r="G48" s="32">
        <v>650</v>
      </c>
      <c r="H48" s="32">
        <v>650</v>
      </c>
      <c r="I48" s="31"/>
      <c r="J48" s="32">
        <v>650</v>
      </c>
      <c r="K48" s="32">
        <v>650</v>
      </c>
      <c r="L48" s="32">
        <v>650</v>
      </c>
      <c r="M48" s="32">
        <v>650</v>
      </c>
      <c r="N48" s="32">
        <v>650</v>
      </c>
      <c r="O48" s="32">
        <v>650</v>
      </c>
      <c r="P48" s="16"/>
      <c r="Q48" s="17"/>
      <c r="S48" s="16"/>
      <c r="T48" s="18"/>
    </row>
    <row r="49" spans="1:20" s="33" customFormat="1">
      <c r="A49" s="30" t="s">
        <v>84</v>
      </c>
      <c r="B49" s="31"/>
      <c r="C49" s="32">
        <v>650</v>
      </c>
      <c r="D49" s="32">
        <v>650</v>
      </c>
      <c r="E49" s="32">
        <v>650</v>
      </c>
      <c r="F49" s="32">
        <v>650</v>
      </c>
      <c r="G49" s="32">
        <v>650</v>
      </c>
      <c r="H49" s="32">
        <v>650</v>
      </c>
      <c r="I49" s="31"/>
      <c r="J49" s="32">
        <v>650</v>
      </c>
      <c r="K49" s="32">
        <v>650</v>
      </c>
      <c r="L49" s="32">
        <v>650</v>
      </c>
      <c r="M49" s="32">
        <v>650</v>
      </c>
      <c r="N49" s="32">
        <v>650</v>
      </c>
      <c r="O49" s="32">
        <v>650</v>
      </c>
      <c r="P49" s="16"/>
      <c r="Q49" s="17"/>
      <c r="S49" s="16"/>
      <c r="T49" s="18"/>
    </row>
    <row r="50" spans="1:20" s="33" customFormat="1">
      <c r="A50" s="30" t="s">
        <v>85</v>
      </c>
      <c r="B50" s="31"/>
      <c r="C50" s="32">
        <v>650</v>
      </c>
      <c r="D50" s="32">
        <v>650</v>
      </c>
      <c r="E50" s="32">
        <v>650</v>
      </c>
      <c r="F50" s="32">
        <v>650</v>
      </c>
      <c r="G50" s="32">
        <v>650</v>
      </c>
      <c r="H50" s="32">
        <v>650</v>
      </c>
      <c r="I50" s="31"/>
      <c r="J50" s="32">
        <v>650</v>
      </c>
      <c r="K50" s="32">
        <v>650</v>
      </c>
      <c r="L50" s="32">
        <v>650</v>
      </c>
      <c r="M50" s="32">
        <v>650</v>
      </c>
      <c r="N50" s="32">
        <v>650</v>
      </c>
      <c r="O50" s="32">
        <v>650</v>
      </c>
      <c r="P50" s="16"/>
      <c r="Q50" s="17"/>
      <c r="S50" s="16"/>
      <c r="T50" s="18"/>
    </row>
    <row r="51" spans="1:20" s="33" customFormat="1">
      <c r="A51" s="30" t="s">
        <v>86</v>
      </c>
      <c r="B51" s="31"/>
      <c r="C51" s="32">
        <v>650</v>
      </c>
      <c r="D51" s="32">
        <v>650</v>
      </c>
      <c r="E51" s="32">
        <v>650</v>
      </c>
      <c r="F51" s="32">
        <v>650</v>
      </c>
      <c r="G51" s="32">
        <v>650</v>
      </c>
      <c r="H51" s="32">
        <v>650</v>
      </c>
      <c r="I51" s="31"/>
      <c r="J51" s="32">
        <v>650</v>
      </c>
      <c r="K51" s="32">
        <v>650</v>
      </c>
      <c r="L51" s="32">
        <v>650</v>
      </c>
      <c r="M51" s="32">
        <v>650</v>
      </c>
      <c r="N51" s="32">
        <v>650</v>
      </c>
      <c r="O51" s="32">
        <v>650</v>
      </c>
      <c r="P51" s="16"/>
      <c r="Q51" s="17"/>
      <c r="S51" s="16"/>
      <c r="T51" s="18"/>
    </row>
    <row r="52" spans="1:20" s="33" customFormat="1">
      <c r="A52" s="30" t="s">
        <v>87</v>
      </c>
      <c r="B52" s="31"/>
      <c r="C52" s="32">
        <v>650</v>
      </c>
      <c r="D52" s="32">
        <v>650</v>
      </c>
      <c r="E52" s="32">
        <v>650</v>
      </c>
      <c r="F52" s="32">
        <v>650</v>
      </c>
      <c r="G52" s="32">
        <v>650</v>
      </c>
      <c r="H52" s="32">
        <v>650</v>
      </c>
      <c r="I52" s="31"/>
      <c r="J52" s="32">
        <v>650</v>
      </c>
      <c r="K52" s="32">
        <v>650</v>
      </c>
      <c r="L52" s="32">
        <v>650</v>
      </c>
      <c r="M52" s="32">
        <v>650</v>
      </c>
      <c r="N52" s="32">
        <v>650</v>
      </c>
      <c r="O52" s="32">
        <v>650</v>
      </c>
      <c r="P52" s="16"/>
      <c r="Q52" s="17"/>
      <c r="S52" s="16"/>
      <c r="T52" s="18"/>
    </row>
    <row r="53" spans="1:20" s="33" customFormat="1">
      <c r="A53" s="30" t="s">
        <v>88</v>
      </c>
      <c r="B53" s="31"/>
      <c r="C53" s="32">
        <v>650</v>
      </c>
      <c r="D53" s="32">
        <v>650</v>
      </c>
      <c r="E53" s="32">
        <v>650</v>
      </c>
      <c r="F53" s="32">
        <v>650</v>
      </c>
      <c r="G53" s="32">
        <v>650</v>
      </c>
      <c r="H53" s="32">
        <v>650</v>
      </c>
      <c r="I53" s="31"/>
      <c r="J53" s="32">
        <v>650</v>
      </c>
      <c r="K53" s="32">
        <v>650</v>
      </c>
      <c r="L53" s="32">
        <v>650</v>
      </c>
      <c r="M53" s="32">
        <v>650</v>
      </c>
      <c r="N53" s="32">
        <v>650</v>
      </c>
      <c r="O53" s="32">
        <v>650</v>
      </c>
      <c r="P53" s="16"/>
      <c r="Q53" s="17"/>
      <c r="S53" s="16"/>
      <c r="T53" s="18"/>
    </row>
    <row r="54" spans="1:20" s="29" customFormat="1">
      <c r="A54" s="27" t="s">
        <v>82</v>
      </c>
      <c r="B54" s="28">
        <v>46012</v>
      </c>
      <c r="C54" s="28">
        <v>46013</v>
      </c>
      <c r="D54" s="28">
        <v>46014</v>
      </c>
      <c r="E54" s="28">
        <v>46015</v>
      </c>
      <c r="F54" s="28">
        <v>46016</v>
      </c>
      <c r="G54" s="28">
        <v>46017</v>
      </c>
      <c r="H54" s="28">
        <v>46018</v>
      </c>
      <c r="I54" s="28">
        <v>46019</v>
      </c>
      <c r="J54" s="28">
        <v>46020</v>
      </c>
      <c r="K54" s="28">
        <v>46021</v>
      </c>
      <c r="L54" s="28">
        <v>46022</v>
      </c>
      <c r="M54" s="28">
        <v>46023</v>
      </c>
      <c r="N54" s="28">
        <v>46024</v>
      </c>
      <c r="O54" s="28" t="s">
        <v>89</v>
      </c>
      <c r="P54" s="16"/>
      <c r="Q54" s="17"/>
      <c r="S54" s="16"/>
      <c r="T54" s="18"/>
    </row>
    <row r="55" spans="1:20" s="33" customFormat="1">
      <c r="A55" s="30" t="s">
        <v>83</v>
      </c>
      <c r="B55" s="31"/>
      <c r="C55" s="32">
        <v>650</v>
      </c>
      <c r="D55" s="32">
        <v>650</v>
      </c>
      <c r="E55" s="32">
        <v>650</v>
      </c>
      <c r="F55" s="32">
        <v>650</v>
      </c>
      <c r="G55" s="32">
        <v>650</v>
      </c>
      <c r="H55" s="32">
        <v>650</v>
      </c>
      <c r="I55" s="31"/>
      <c r="J55" s="32"/>
      <c r="K55" s="32"/>
      <c r="L55" s="32"/>
      <c r="M55" s="32"/>
      <c r="N55" s="32"/>
      <c r="O55" s="32">
        <f>SUM(B48:O48,B55:N55)</f>
        <v>11700</v>
      </c>
      <c r="P55" s="16"/>
      <c r="Q55" s="17"/>
      <c r="S55" s="16"/>
      <c r="T55" s="18"/>
    </row>
    <row r="56" spans="1:20" s="33" customFormat="1">
      <c r="A56" s="30" t="s">
        <v>84</v>
      </c>
      <c r="B56" s="31"/>
      <c r="C56" s="32">
        <v>650</v>
      </c>
      <c r="D56" s="32">
        <v>650</v>
      </c>
      <c r="E56" s="32">
        <v>650</v>
      </c>
      <c r="F56" s="32">
        <v>650</v>
      </c>
      <c r="G56" s="32">
        <v>650</v>
      </c>
      <c r="H56" s="32">
        <v>650</v>
      </c>
      <c r="I56" s="31"/>
      <c r="J56" s="32"/>
      <c r="K56" s="32"/>
      <c r="L56" s="32"/>
      <c r="M56" s="32"/>
      <c r="N56" s="32"/>
      <c r="O56" s="32">
        <f t="shared" ref="O56:O60" si="0">SUM(B49:O49,B56:N56)</f>
        <v>11700</v>
      </c>
      <c r="P56" s="16"/>
      <c r="Q56" s="17"/>
      <c r="S56" s="16"/>
      <c r="T56" s="18"/>
    </row>
    <row r="57" spans="1:20" s="33" customFormat="1">
      <c r="A57" s="30" t="s">
        <v>85</v>
      </c>
      <c r="B57" s="31"/>
      <c r="C57" s="32">
        <v>650</v>
      </c>
      <c r="D57" s="32">
        <v>650</v>
      </c>
      <c r="E57" s="32">
        <v>650</v>
      </c>
      <c r="F57" s="32">
        <v>650</v>
      </c>
      <c r="G57" s="32">
        <v>650</v>
      </c>
      <c r="H57" s="32">
        <v>650</v>
      </c>
      <c r="I57" s="31"/>
      <c r="J57" s="32"/>
      <c r="K57" s="32"/>
      <c r="L57" s="32"/>
      <c r="M57" s="32"/>
      <c r="N57" s="32"/>
      <c r="O57" s="32">
        <f t="shared" si="0"/>
        <v>11700</v>
      </c>
      <c r="P57" s="16"/>
      <c r="Q57" s="17"/>
      <c r="S57" s="16"/>
      <c r="T57" s="18"/>
    </row>
    <row r="58" spans="1:20" s="33" customFormat="1">
      <c r="A58" s="30" t="s">
        <v>86</v>
      </c>
      <c r="B58" s="31"/>
      <c r="C58" s="32">
        <v>650</v>
      </c>
      <c r="D58" s="32">
        <v>650</v>
      </c>
      <c r="E58" s="32">
        <v>650</v>
      </c>
      <c r="F58" s="32">
        <v>650</v>
      </c>
      <c r="G58" s="32">
        <v>650</v>
      </c>
      <c r="H58" s="32">
        <v>650</v>
      </c>
      <c r="I58" s="31"/>
      <c r="J58" s="32"/>
      <c r="K58" s="32"/>
      <c r="L58" s="32"/>
      <c r="M58" s="32"/>
      <c r="N58" s="32"/>
      <c r="O58" s="32">
        <f t="shared" si="0"/>
        <v>11700</v>
      </c>
      <c r="P58" s="16"/>
      <c r="Q58" s="17"/>
      <c r="S58" s="16"/>
      <c r="T58" s="18"/>
    </row>
    <row r="59" spans="1:20" s="33" customFormat="1">
      <c r="A59" s="30" t="s">
        <v>87</v>
      </c>
      <c r="B59" s="31"/>
      <c r="C59" s="32">
        <v>650</v>
      </c>
      <c r="D59" s="32">
        <v>650</v>
      </c>
      <c r="E59" s="32">
        <v>650</v>
      </c>
      <c r="F59" s="32">
        <v>650</v>
      </c>
      <c r="G59" s="32">
        <v>650</v>
      </c>
      <c r="H59" s="32">
        <v>650</v>
      </c>
      <c r="I59" s="31"/>
      <c r="J59" s="32"/>
      <c r="K59" s="32"/>
      <c r="L59" s="32"/>
      <c r="M59" s="32"/>
      <c r="N59" s="32"/>
      <c r="O59" s="32">
        <f t="shared" si="0"/>
        <v>11700</v>
      </c>
      <c r="P59" s="16"/>
      <c r="Q59" s="17"/>
      <c r="S59" s="16"/>
      <c r="T59" s="18"/>
    </row>
    <row r="60" spans="1:20" s="33" customFormat="1">
      <c r="A60" s="30" t="s">
        <v>88</v>
      </c>
      <c r="B60" s="31"/>
      <c r="C60" s="32">
        <v>650</v>
      </c>
      <c r="D60" s="32">
        <v>650</v>
      </c>
      <c r="E60" s="32">
        <v>650</v>
      </c>
      <c r="F60" s="32">
        <v>650</v>
      </c>
      <c r="G60" s="32">
        <v>650</v>
      </c>
      <c r="H60" s="32">
        <v>650</v>
      </c>
      <c r="I60" s="31"/>
      <c r="J60" s="32"/>
      <c r="K60" s="32"/>
      <c r="L60" s="32"/>
      <c r="M60" s="32"/>
      <c r="N60" s="32"/>
      <c r="O60" s="32">
        <f t="shared" si="0"/>
        <v>11700</v>
      </c>
      <c r="P60" s="16"/>
      <c r="Q60" s="17"/>
      <c r="S60" s="16"/>
      <c r="T60" s="18"/>
    </row>
    <row r="61" spans="1:20" s="33" customFormat="1">
      <c r="A61" s="34"/>
      <c r="B61" s="35"/>
      <c r="C61" s="36"/>
      <c r="D61" s="36"/>
      <c r="E61" s="36"/>
      <c r="F61" s="36"/>
      <c r="G61" s="36"/>
      <c r="H61" s="36"/>
      <c r="I61" s="35"/>
      <c r="J61" s="36"/>
      <c r="K61" s="36"/>
      <c r="L61" s="36"/>
      <c r="M61" s="36"/>
      <c r="N61" s="37" t="s">
        <v>90</v>
      </c>
      <c r="O61" s="38">
        <f>SUM(O55:O60)</f>
        <v>70200</v>
      </c>
      <c r="P61" s="16"/>
      <c r="Q61" s="17"/>
      <c r="S61" s="16"/>
      <c r="T61" s="18"/>
    </row>
    <row r="62" spans="1:20" s="33" customFormat="1">
      <c r="A62" s="39"/>
      <c r="B62" s="58" t="s">
        <v>91</v>
      </c>
      <c r="C62" s="58"/>
      <c r="D62" s="40"/>
      <c r="E62" s="58" t="s">
        <v>92</v>
      </c>
      <c r="F62" s="58"/>
      <c r="G62" s="45" t="s">
        <v>93</v>
      </c>
      <c r="H62" s="45"/>
      <c r="I62" s="45"/>
      <c r="J62" s="40"/>
      <c r="K62" s="40"/>
      <c r="L62" s="40"/>
      <c r="M62" s="47" t="s">
        <v>94</v>
      </c>
      <c r="N62" s="47"/>
      <c r="O62" s="41"/>
      <c r="P62" s="16"/>
      <c r="Q62" s="17"/>
      <c r="S62" s="16"/>
      <c r="T62" s="18"/>
    </row>
    <row r="63" spans="1:20" s="33" customFormat="1">
      <c r="A63" s="42"/>
      <c r="B63" s="59"/>
      <c r="C63" s="59"/>
      <c r="D63" s="43"/>
      <c r="E63" s="59"/>
      <c r="F63" s="59"/>
      <c r="G63" s="46"/>
      <c r="H63" s="46"/>
      <c r="I63" s="46"/>
      <c r="J63" s="43"/>
      <c r="K63" s="43"/>
      <c r="L63" s="43"/>
      <c r="M63" s="48"/>
      <c r="N63" s="48"/>
      <c r="O63" s="44"/>
      <c r="P63" s="16"/>
      <c r="Q63" s="17"/>
      <c r="S63" s="16"/>
      <c r="T63" s="18"/>
    </row>
  </sheetData>
  <mergeCells count="10">
    <mergeCell ref="G62:I63"/>
    <mergeCell ref="M62:N62"/>
    <mergeCell ref="M63:N63"/>
    <mergeCell ref="A1:O1"/>
    <mergeCell ref="A2:O2"/>
    <mergeCell ref="A5:A15"/>
    <mergeCell ref="B62:C63"/>
    <mergeCell ref="E62:F63"/>
    <mergeCell ref="A38:A44"/>
    <mergeCell ref="A18:A35"/>
  </mergeCells>
  <conditionalFormatting sqref="G62:G63">
    <cfRule type="duplicateValues" dxfId="26" priority="25"/>
  </conditionalFormatting>
  <conditionalFormatting sqref="G46 G1 G3">
    <cfRule type="duplicateValues" dxfId="25" priority="26"/>
  </conditionalFormatting>
  <conditionalFormatting sqref="G61:I63 G46:I46 I48:I53 I55:I60">
    <cfRule type="duplicateValues" dxfId="24" priority="27"/>
  </conditionalFormatting>
  <conditionalFormatting sqref="G62:G1048576 G46 G1 G3">
    <cfRule type="duplicateValues" dxfId="23" priority="28"/>
  </conditionalFormatting>
  <conditionalFormatting sqref="G61:G1048576 G46 G1:G4">
    <cfRule type="duplicateValues" dxfId="22" priority="29"/>
  </conditionalFormatting>
  <conditionalFormatting sqref="H61:H1048576 H46 H1:H4">
    <cfRule type="duplicateValues" dxfId="21" priority="30"/>
  </conditionalFormatting>
  <conditionalFormatting sqref="G45">
    <cfRule type="duplicateValues" dxfId="20" priority="22"/>
  </conditionalFormatting>
  <conditionalFormatting sqref="H45">
    <cfRule type="duplicateValues" dxfId="19" priority="23"/>
  </conditionalFormatting>
  <conditionalFormatting sqref="G45:I45">
    <cfRule type="duplicateValues" dxfId="18" priority="24"/>
  </conditionalFormatting>
  <conditionalFormatting sqref="G16">
    <cfRule type="duplicateValues" dxfId="17" priority="9"/>
  </conditionalFormatting>
  <conditionalFormatting sqref="H16">
    <cfRule type="duplicateValues" dxfId="16" priority="10"/>
  </conditionalFormatting>
  <conditionalFormatting sqref="G16:I16">
    <cfRule type="duplicateValues" dxfId="15" priority="11"/>
  </conditionalFormatting>
  <conditionalFormatting sqref="G17">
    <cfRule type="duplicateValues" dxfId="14" priority="12"/>
  </conditionalFormatting>
  <conditionalFormatting sqref="H17">
    <cfRule type="duplicateValues" dxfId="13" priority="13"/>
  </conditionalFormatting>
  <conditionalFormatting sqref="G17:I17">
    <cfRule type="duplicateValues" dxfId="12" priority="14"/>
  </conditionalFormatting>
  <conditionalFormatting sqref="H16:H17">
    <cfRule type="duplicateValues" dxfId="11" priority="8"/>
  </conditionalFormatting>
  <conditionalFormatting sqref="H10:H15">
    <cfRule type="duplicateValues" dxfId="10" priority="32"/>
  </conditionalFormatting>
  <conditionalFormatting sqref="G36">
    <cfRule type="duplicateValues" dxfId="9" priority="2"/>
  </conditionalFormatting>
  <conditionalFormatting sqref="H36">
    <cfRule type="duplicateValues" dxfId="8" priority="3"/>
  </conditionalFormatting>
  <conditionalFormatting sqref="G36:I36">
    <cfRule type="duplicateValues" dxfId="7" priority="4"/>
  </conditionalFormatting>
  <conditionalFormatting sqref="G37">
    <cfRule type="duplicateValues" dxfId="6" priority="5"/>
  </conditionalFormatting>
  <conditionalFormatting sqref="H37">
    <cfRule type="duplicateValues" dxfId="5" priority="6"/>
  </conditionalFormatting>
  <conditionalFormatting sqref="G37:I37">
    <cfRule type="duplicateValues" dxfId="4" priority="7"/>
  </conditionalFormatting>
  <conditionalFormatting sqref="H36:H37">
    <cfRule type="duplicateValues" dxfId="3" priority="1"/>
  </conditionalFormatting>
  <conditionalFormatting sqref="H38:H44 H5:H15 H18:H35">
    <cfRule type="duplicateValues" dxfId="2" priority="85"/>
  </conditionalFormatting>
  <conditionalFormatting sqref="G38:G44 G5:G15 G18:G35">
    <cfRule type="duplicateValues" dxfId="1" priority="88"/>
  </conditionalFormatting>
  <conditionalFormatting sqref="G38:H44 G5:H15 G18:H35">
    <cfRule type="duplicateValues" dxfId="0" priority="91"/>
  </conditionalFormatting>
  <printOptions horizontalCentered="1"/>
  <pageMargins left="0" right="0" top="0.59055118110236227" bottom="0" header="0.31496062992125984" footer="0"/>
  <pageSetup paperSize="9" scale="82" fitToHeight="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GL</vt:lpstr>
      <vt:lpstr>GL!Print_Area</vt:lpstr>
      <vt:lpstr>GL!Print_Titles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rajasekhar-y</dc:creator>
  <cp:lastModifiedBy>rajasekhar-y</cp:lastModifiedBy>
  <dcterms:created xsi:type="dcterms:W3CDTF">2025-11-04T09:17:19Z</dcterms:created>
  <dcterms:modified xsi:type="dcterms:W3CDTF">2025-11-10T12:26:52Z</dcterms:modified>
</cp:coreProperties>
</file>