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asekhar-y\Desktop\DECEMBER MONTH OFFICIAL SCHEDULE\"/>
    </mc:Choice>
  </mc:AlternateContent>
  <bookViews>
    <workbookView xWindow="0" yWindow="0" windowWidth="20490" windowHeight="7755" firstSheet="1" activeTab="4"/>
  </bookViews>
  <sheets>
    <sheet name="AP10 1,2,3" sheetId="1" r:id="rId1"/>
    <sheet name="AP10 12,13" sheetId="4" r:id="rId2"/>
    <sheet name="AP10 1,2,3,5,7,8,9,15,17,18" sheetId="3" r:id="rId3"/>
    <sheet name="AP11 1,3,5,7,8,9,10" sheetId="7" state="hidden" r:id="rId4"/>
    <sheet name="AP11 2,7,10" sheetId="6" r:id="rId5"/>
    <sheet name="AP11 7,8,10" sheetId="8" r:id="rId6"/>
    <sheet name="AP11 1,3,5,7,8,9,10 new" sheetId="9" r:id="rId7"/>
  </sheets>
  <definedNames>
    <definedName name="_1Excel_BuiltIn__FilterDatabase_1" localSheetId="0">#REF!</definedName>
    <definedName name="_1Excel_BuiltIn__FilterDatabase_1" localSheetId="2">#REF!</definedName>
    <definedName name="_1Excel_BuiltIn__FilterDatabase_1" localSheetId="1">#REF!</definedName>
    <definedName name="_1Excel_BuiltIn__FilterDatabase_1" localSheetId="3">#REF!</definedName>
    <definedName name="_1Excel_BuiltIn__FilterDatabase_1" localSheetId="6">#REF!</definedName>
    <definedName name="_1Excel_BuiltIn__FilterDatabase_1" localSheetId="4">#REF!</definedName>
    <definedName name="_1Excel_BuiltIn__FilterDatabase_1" localSheetId="5">#REF!</definedName>
    <definedName name="_1Excel_BuiltIn__FilterDatabase_1">#REF!</definedName>
    <definedName name="_xlnm._FilterDatabase" localSheetId="0" hidden="1">'AP10 1,2,3'!$A$4:$R$87</definedName>
    <definedName name="_xlnm._FilterDatabase" localSheetId="2" hidden="1">'AP10 1,2,3,5,7,8,9,15,17,18'!$A$4:$R$42</definedName>
    <definedName name="_xlnm._FilterDatabase" localSheetId="1" hidden="1">'AP10 12,13'!$A$4:$R$27</definedName>
    <definedName name="_xlnm._FilterDatabase" localSheetId="3" hidden="1">'AP11 1,3,5,7,8,9,10'!$A$4:$S$55</definedName>
    <definedName name="_xlnm._FilterDatabase" localSheetId="6" hidden="1">'AP11 1,3,5,7,8,9,10 new'!$A$4:$S$61</definedName>
    <definedName name="_xlnm._FilterDatabase" localSheetId="4" hidden="1">'AP11 2,7,10'!$A$4:$S$4</definedName>
    <definedName name="_xlnm._FilterDatabase" localSheetId="5" hidden="1">'AP11 7,8,10'!$A$4:$S$22</definedName>
    <definedName name="a" localSheetId="0">#REF!</definedName>
    <definedName name="a" localSheetId="2">#REF!</definedName>
    <definedName name="a" localSheetId="1">#REF!</definedName>
    <definedName name="a" localSheetId="3">#REF!</definedName>
    <definedName name="a" localSheetId="6">#REF!</definedName>
    <definedName name="a" localSheetId="4">#REF!</definedName>
    <definedName name="a" localSheetId="5">#REF!</definedName>
    <definedName name="a">#REF!</definedName>
    <definedName name="AAAAA" localSheetId="0">#REF!</definedName>
    <definedName name="AAAAA" localSheetId="2">#REF!</definedName>
    <definedName name="AAAAA" localSheetId="1">#REF!</definedName>
    <definedName name="AAAAA" localSheetId="3">#REF!</definedName>
    <definedName name="AAAAA" localSheetId="6">#REF!</definedName>
    <definedName name="AAAAA" localSheetId="4">#REF!</definedName>
    <definedName name="AAAAA" localSheetId="5">#REF!</definedName>
    <definedName name="AAAAA">#REF!</definedName>
    <definedName name="aaaaaa" localSheetId="0">#REF!</definedName>
    <definedName name="aaaaaa" localSheetId="2">#REF!</definedName>
    <definedName name="aaaaaa" localSheetId="1">#REF!</definedName>
    <definedName name="aaaaaa" localSheetId="3">#REF!</definedName>
    <definedName name="aaaaaa" localSheetId="6">#REF!</definedName>
    <definedName name="aaaaaa" localSheetId="4">#REF!</definedName>
    <definedName name="aaaaaa" localSheetId="5">#REF!</definedName>
    <definedName name="aaaaaa">#REF!</definedName>
    <definedName name="asss" localSheetId="0">#REF!</definedName>
    <definedName name="asss" localSheetId="2">#REF!</definedName>
    <definedName name="asss" localSheetId="1">#REF!</definedName>
    <definedName name="asss" localSheetId="3">#REF!</definedName>
    <definedName name="asss" localSheetId="6">#REF!</definedName>
    <definedName name="asss" localSheetId="4">#REF!</definedName>
    <definedName name="asss" localSheetId="5">#REF!</definedName>
    <definedName name="asss">#REF!</definedName>
    <definedName name="bbbb" localSheetId="0">#REF!</definedName>
    <definedName name="bbbb" localSheetId="2">#REF!</definedName>
    <definedName name="bbbb" localSheetId="1">#REF!</definedName>
    <definedName name="bbbb" localSheetId="3">#REF!</definedName>
    <definedName name="bbbb" localSheetId="6">#REF!</definedName>
    <definedName name="bbbb" localSheetId="4">#REF!</definedName>
    <definedName name="bbbb" localSheetId="5">#REF!</definedName>
    <definedName name="bbbb">#REF!</definedName>
    <definedName name="d1jan" localSheetId="0">#REF!</definedName>
    <definedName name="d1jan" localSheetId="2">#REF!</definedName>
    <definedName name="d1jan" localSheetId="1">#REF!</definedName>
    <definedName name="d1jan" localSheetId="3">#REF!</definedName>
    <definedName name="d1jan" localSheetId="6">#REF!</definedName>
    <definedName name="d1jan" localSheetId="4">#REF!</definedName>
    <definedName name="d1jan" localSheetId="5">#REF!</definedName>
    <definedName name="d1jan">#REF!</definedName>
    <definedName name="D1JANUARY" localSheetId="0">#REF!</definedName>
    <definedName name="D1JANUARY" localSheetId="2">#REF!</definedName>
    <definedName name="D1JANUARY" localSheetId="1">#REF!</definedName>
    <definedName name="D1JANUARY" localSheetId="3">#REF!</definedName>
    <definedName name="D1JANUARY" localSheetId="6">#REF!</definedName>
    <definedName name="D1JANUARY" localSheetId="4">#REF!</definedName>
    <definedName name="D1JANUARY" localSheetId="5">#REF!</definedName>
    <definedName name="D1JANUARY">#REF!</definedName>
    <definedName name="DDD" localSheetId="0">#REF!</definedName>
    <definedName name="DDD" localSheetId="2">#REF!</definedName>
    <definedName name="DDD" localSheetId="1">#REF!</definedName>
    <definedName name="DDD" localSheetId="3">#REF!</definedName>
    <definedName name="DDD" localSheetId="6">#REF!</definedName>
    <definedName name="DDD" localSheetId="4">#REF!</definedName>
    <definedName name="DDD" localSheetId="5">#REF!</definedName>
    <definedName name="DDD">#REF!</definedName>
    <definedName name="DDDDDDDDD" localSheetId="0">#REF!</definedName>
    <definedName name="DDDDDDDDD" localSheetId="2">#REF!</definedName>
    <definedName name="DDDDDDDDD" localSheetId="1">#REF!</definedName>
    <definedName name="DDDDDDDDD" localSheetId="3">#REF!</definedName>
    <definedName name="DDDDDDDDD" localSheetId="6">#REF!</definedName>
    <definedName name="DDDDDDDDD" localSheetId="4">#REF!</definedName>
    <definedName name="DDDDDDDDD" localSheetId="5">#REF!</definedName>
    <definedName name="DDDDDDDDD">#REF!</definedName>
    <definedName name="dffff" localSheetId="0">#REF!</definedName>
    <definedName name="dffff" localSheetId="2">#REF!</definedName>
    <definedName name="dffff" localSheetId="1">#REF!</definedName>
    <definedName name="dffff" localSheetId="3">#REF!</definedName>
    <definedName name="dffff" localSheetId="6">#REF!</definedName>
    <definedName name="dffff" localSheetId="4">#REF!</definedName>
    <definedName name="dffff" localSheetId="5">#REF!</definedName>
    <definedName name="dffff">#REF!</definedName>
    <definedName name="dfsfdsfdsf" localSheetId="0">#REF!</definedName>
    <definedName name="dfsfdsfdsf" localSheetId="2">#REF!</definedName>
    <definedName name="dfsfdsfdsf" localSheetId="1">#REF!</definedName>
    <definedName name="dfsfdsfdsf" localSheetId="3">#REF!</definedName>
    <definedName name="dfsfdsfdsf" localSheetId="6">#REF!</definedName>
    <definedName name="dfsfdsfdsf" localSheetId="4">#REF!</definedName>
    <definedName name="dfsfdsfdsf" localSheetId="5">#REF!</definedName>
    <definedName name="dfsfdsfdsf">#REF!</definedName>
    <definedName name="eeee" localSheetId="0">#REF!</definedName>
    <definedName name="eeee" localSheetId="2">#REF!</definedName>
    <definedName name="eeee" localSheetId="1">#REF!</definedName>
    <definedName name="eeee" localSheetId="3">#REF!</definedName>
    <definedName name="eeee" localSheetId="6">#REF!</definedName>
    <definedName name="eeee" localSheetId="4">#REF!</definedName>
    <definedName name="eeee" localSheetId="5">#REF!</definedName>
    <definedName name="eeee">#REF!</definedName>
    <definedName name="eeeerrrrr" localSheetId="0">#REF!</definedName>
    <definedName name="eeeerrrrr" localSheetId="2">#REF!</definedName>
    <definedName name="eeeerrrrr" localSheetId="1">#REF!</definedName>
    <definedName name="eeeerrrrr" localSheetId="3">#REF!</definedName>
    <definedName name="eeeerrrrr" localSheetId="6">#REF!</definedName>
    <definedName name="eeeerrrrr" localSheetId="4">#REF!</definedName>
    <definedName name="eeeerrrrr" localSheetId="5">#REF!</definedName>
    <definedName name="eeeerrrrr">#REF!</definedName>
    <definedName name="eerrr" localSheetId="0">#REF!</definedName>
    <definedName name="eerrr" localSheetId="2">#REF!</definedName>
    <definedName name="eerrr" localSheetId="1">#REF!</definedName>
    <definedName name="eerrr" localSheetId="3">#REF!</definedName>
    <definedName name="eerrr" localSheetId="6">#REF!</definedName>
    <definedName name="eerrr" localSheetId="4">#REF!</definedName>
    <definedName name="eerrr" localSheetId="5">#REF!</definedName>
    <definedName name="eerrr">#REF!</definedName>
    <definedName name="errttt" localSheetId="0">#REF!</definedName>
    <definedName name="errttt" localSheetId="2">#REF!</definedName>
    <definedName name="errttt" localSheetId="1">#REF!</definedName>
    <definedName name="errttt" localSheetId="3">#REF!</definedName>
    <definedName name="errttt" localSheetId="6">#REF!</definedName>
    <definedName name="errttt" localSheetId="4">#REF!</definedName>
    <definedName name="errttt" localSheetId="5">#REF!</definedName>
    <definedName name="errttt">#REF!</definedName>
    <definedName name="Excel_BuiltIn__FilterDatabase" localSheetId="0">#REF!</definedName>
    <definedName name="Excel_BuiltIn__FilterDatabase" localSheetId="2">#REF!</definedName>
    <definedName name="Excel_BuiltIn__FilterDatabase" localSheetId="1">#REF!</definedName>
    <definedName name="Excel_BuiltIn__FilterDatabase" localSheetId="3">#REF!</definedName>
    <definedName name="Excel_BuiltIn__FilterDatabase" localSheetId="6">#REF!</definedName>
    <definedName name="Excel_BuiltIn__FilterDatabase" localSheetId="4">#REF!</definedName>
    <definedName name="Excel_BuiltIn__FilterDatabase" localSheetId="5">#REF!</definedName>
    <definedName name="Excel_BuiltIn__FilterDatabase">#REF!</definedName>
    <definedName name="ffff" localSheetId="0">#REF!</definedName>
    <definedName name="ffff" localSheetId="2">#REF!</definedName>
    <definedName name="ffff" localSheetId="1">#REF!</definedName>
    <definedName name="ffff" localSheetId="3">#REF!</definedName>
    <definedName name="ffff" localSheetId="6">#REF!</definedName>
    <definedName name="ffff" localSheetId="4">#REF!</definedName>
    <definedName name="ffff" localSheetId="5">#REF!</definedName>
    <definedName name="ffff">#REF!</definedName>
    <definedName name="FFFFF" localSheetId="0">#REF!</definedName>
    <definedName name="FFFFF" localSheetId="2">#REF!</definedName>
    <definedName name="FFFFF" localSheetId="1">#REF!</definedName>
    <definedName name="FFFFF" localSheetId="3">#REF!</definedName>
    <definedName name="FFFFF" localSheetId="6">#REF!</definedName>
    <definedName name="FFFFF" localSheetId="4">#REF!</definedName>
    <definedName name="FFFFF" localSheetId="5">#REF!</definedName>
    <definedName name="FFFFF">#REF!</definedName>
    <definedName name="ffffff" localSheetId="0">#REF!</definedName>
    <definedName name="ffffff" localSheetId="2">#REF!</definedName>
    <definedName name="ffffff" localSheetId="1">#REF!</definedName>
    <definedName name="ffffff" localSheetId="3">#REF!</definedName>
    <definedName name="ffffff" localSheetId="6">#REF!</definedName>
    <definedName name="ffffff" localSheetId="4">#REF!</definedName>
    <definedName name="ffffff" localSheetId="5">#REF!</definedName>
    <definedName name="ffffff">#REF!</definedName>
    <definedName name="fffffrr" localSheetId="0">#REF!</definedName>
    <definedName name="fffffrr" localSheetId="2">#REF!</definedName>
    <definedName name="fffffrr" localSheetId="1">#REF!</definedName>
    <definedName name="fffffrr" localSheetId="3">#REF!</definedName>
    <definedName name="fffffrr" localSheetId="6">#REF!</definedName>
    <definedName name="fffffrr" localSheetId="4">#REF!</definedName>
    <definedName name="fffffrr" localSheetId="5">#REF!</definedName>
    <definedName name="fffffrr">#REF!</definedName>
    <definedName name="ffffg" localSheetId="0">#REF!</definedName>
    <definedName name="ffffg" localSheetId="2">#REF!</definedName>
    <definedName name="ffffg" localSheetId="1">#REF!</definedName>
    <definedName name="ffffg" localSheetId="3">#REF!</definedName>
    <definedName name="ffffg" localSheetId="6">#REF!</definedName>
    <definedName name="ffffg" localSheetId="4">#REF!</definedName>
    <definedName name="ffffg" localSheetId="5">#REF!</definedName>
    <definedName name="ffffg">#REF!</definedName>
    <definedName name="fgggg" localSheetId="0">#REF!</definedName>
    <definedName name="fgggg" localSheetId="2">#REF!</definedName>
    <definedName name="fgggg" localSheetId="1">#REF!</definedName>
    <definedName name="fgggg" localSheetId="3">#REF!</definedName>
    <definedName name="fgggg" localSheetId="6">#REF!</definedName>
    <definedName name="fgggg" localSheetId="4">#REF!</definedName>
    <definedName name="fgggg" localSheetId="5">#REF!</definedName>
    <definedName name="fgggg">#REF!</definedName>
    <definedName name="GFFF" localSheetId="0">#REF!</definedName>
    <definedName name="GFFF" localSheetId="2">#REF!</definedName>
    <definedName name="GFFF" localSheetId="1">#REF!</definedName>
    <definedName name="GFFF" localSheetId="3">#REF!</definedName>
    <definedName name="GFFF" localSheetId="6">#REF!</definedName>
    <definedName name="GFFF" localSheetId="4">#REF!</definedName>
    <definedName name="GFFF" localSheetId="5">#REF!</definedName>
    <definedName name="GFFF">#REF!</definedName>
    <definedName name="GFGFDHFHFH" localSheetId="0">#REF!</definedName>
    <definedName name="GFGFDHFHFH" localSheetId="2">#REF!</definedName>
    <definedName name="GFGFDHFHFH" localSheetId="1">#REF!</definedName>
    <definedName name="GFGFDHFHFH" localSheetId="3">#REF!</definedName>
    <definedName name="GFGFDHFHFH" localSheetId="6">#REF!</definedName>
    <definedName name="GFGFDHFHFH" localSheetId="4">#REF!</definedName>
    <definedName name="GFGFDHFHFH" localSheetId="5">#REF!</definedName>
    <definedName name="GFGFDHFHFH">#REF!</definedName>
    <definedName name="GFGGGG" localSheetId="0">#REF!</definedName>
    <definedName name="GFGGGG" localSheetId="2">#REF!</definedName>
    <definedName name="GFGGGG" localSheetId="1">#REF!</definedName>
    <definedName name="GFGGGG" localSheetId="3">#REF!</definedName>
    <definedName name="GFGGGG" localSheetId="6">#REF!</definedName>
    <definedName name="GFGGGG" localSheetId="4">#REF!</definedName>
    <definedName name="GFGGGG" localSheetId="5">#REF!</definedName>
    <definedName name="GFGGGG">#REF!</definedName>
    <definedName name="GGGGGG" localSheetId="0">#REF!</definedName>
    <definedName name="GGGGGG" localSheetId="2">#REF!</definedName>
    <definedName name="GGGGGG" localSheetId="1">#REF!</definedName>
    <definedName name="GGGGGG" localSheetId="3">#REF!</definedName>
    <definedName name="GGGGGG" localSheetId="6">#REF!</definedName>
    <definedName name="GGGGGG" localSheetId="4">#REF!</definedName>
    <definedName name="GGGGGG" localSheetId="5">#REF!</definedName>
    <definedName name="GGGGGG">#REF!</definedName>
    <definedName name="GGGGGGG" localSheetId="0">#REF!</definedName>
    <definedName name="GGGGGGG" localSheetId="2">#REF!</definedName>
    <definedName name="GGGGGGG" localSheetId="1">#REF!</definedName>
    <definedName name="GGGGGGG" localSheetId="3">#REF!</definedName>
    <definedName name="GGGGGGG" localSheetId="6">#REF!</definedName>
    <definedName name="GGGGGGG" localSheetId="4">#REF!</definedName>
    <definedName name="GGGGGGG" localSheetId="5">#REF!</definedName>
    <definedName name="GGGGGGG">#REF!</definedName>
    <definedName name="HGG" localSheetId="0">#REF!</definedName>
    <definedName name="HGG" localSheetId="2">#REF!</definedName>
    <definedName name="HGG" localSheetId="1">#REF!</definedName>
    <definedName name="HGG" localSheetId="3">#REF!</definedName>
    <definedName name="HGG" localSheetId="6">#REF!</definedName>
    <definedName name="HGG" localSheetId="4">#REF!</definedName>
    <definedName name="HGG" localSheetId="5">#REF!</definedName>
    <definedName name="HGG">#REF!</definedName>
    <definedName name="HGHGHG" localSheetId="0">#REF!</definedName>
    <definedName name="HGHGHG" localSheetId="2">#REF!</definedName>
    <definedName name="HGHGHG" localSheetId="1">#REF!</definedName>
    <definedName name="HGHGHG" localSheetId="3">#REF!</definedName>
    <definedName name="HGHGHG" localSheetId="6">#REF!</definedName>
    <definedName name="HGHGHG" localSheetId="4">#REF!</definedName>
    <definedName name="HGHGHG" localSheetId="5">#REF!</definedName>
    <definedName name="HGHGHG">#REF!</definedName>
    <definedName name="HGHHGHH" localSheetId="0">#REF!</definedName>
    <definedName name="HGHHGHH" localSheetId="2">#REF!</definedName>
    <definedName name="HGHHGHH" localSheetId="1">#REF!</definedName>
    <definedName name="HGHHGHH" localSheetId="3">#REF!</definedName>
    <definedName name="HGHHGHH" localSheetId="6">#REF!</definedName>
    <definedName name="HGHHGHH" localSheetId="4">#REF!</definedName>
    <definedName name="HGHHGHH" localSheetId="5">#REF!</definedName>
    <definedName name="HGHHGHH">#REF!</definedName>
    <definedName name="khhgg" localSheetId="0">#REF!</definedName>
    <definedName name="khhgg" localSheetId="2">#REF!</definedName>
    <definedName name="khhgg" localSheetId="1">#REF!</definedName>
    <definedName name="khhgg" localSheetId="3">#REF!</definedName>
    <definedName name="khhgg" localSheetId="6">#REF!</definedName>
    <definedName name="khhgg" localSheetId="4">#REF!</definedName>
    <definedName name="khhgg" localSheetId="5">#REF!</definedName>
    <definedName name="khhgg">#REF!</definedName>
    <definedName name="llll" localSheetId="0">#REF!</definedName>
    <definedName name="llll" localSheetId="2">#REF!</definedName>
    <definedName name="llll" localSheetId="1">#REF!</definedName>
    <definedName name="llll" localSheetId="3">#REF!</definedName>
    <definedName name="llll" localSheetId="6">#REF!</definedName>
    <definedName name="llll" localSheetId="4">#REF!</definedName>
    <definedName name="llll" localSheetId="5">#REF!</definedName>
    <definedName name="llll">#REF!</definedName>
    <definedName name="MMMMM" localSheetId="0">#REF!</definedName>
    <definedName name="MMMMM" localSheetId="2">#REF!</definedName>
    <definedName name="MMMMM" localSheetId="1">#REF!</definedName>
    <definedName name="MMMMM" localSheetId="3">#REF!</definedName>
    <definedName name="MMMMM" localSheetId="6">#REF!</definedName>
    <definedName name="MMMMM" localSheetId="4">#REF!</definedName>
    <definedName name="MMMMM" localSheetId="5">#REF!</definedName>
    <definedName name="MMMMM">#REF!</definedName>
    <definedName name="naaaa" localSheetId="0">#REF!</definedName>
    <definedName name="naaaa" localSheetId="2">#REF!</definedName>
    <definedName name="naaaa" localSheetId="1">#REF!</definedName>
    <definedName name="naaaa" localSheetId="3">#REF!</definedName>
    <definedName name="naaaa" localSheetId="6">#REF!</definedName>
    <definedName name="naaaa" localSheetId="4">#REF!</definedName>
    <definedName name="naaaa" localSheetId="5">#REF!</definedName>
    <definedName name="naaaa">#REF!</definedName>
    <definedName name="PPP" localSheetId="0">#REF!</definedName>
    <definedName name="PPP" localSheetId="2">#REF!</definedName>
    <definedName name="PPP" localSheetId="1">#REF!</definedName>
    <definedName name="PPP" localSheetId="3">#REF!</definedName>
    <definedName name="PPP" localSheetId="6">#REF!</definedName>
    <definedName name="PPP" localSheetId="4">#REF!</definedName>
    <definedName name="PPP" localSheetId="5">#REF!</definedName>
    <definedName name="PPP">#REF!</definedName>
    <definedName name="PPPP" localSheetId="0">#REF!</definedName>
    <definedName name="PPPP" localSheetId="2">#REF!</definedName>
    <definedName name="PPPP" localSheetId="1">#REF!</definedName>
    <definedName name="PPPP" localSheetId="3">#REF!</definedName>
    <definedName name="PPPP" localSheetId="6">#REF!</definedName>
    <definedName name="PPPP" localSheetId="4">#REF!</definedName>
    <definedName name="PPPP" localSheetId="5">#REF!</definedName>
    <definedName name="PPPP">#REF!</definedName>
    <definedName name="PPPPP" localSheetId="0">#REF!</definedName>
    <definedName name="PPPPP" localSheetId="2">#REF!</definedName>
    <definedName name="PPPPP" localSheetId="1">#REF!</definedName>
    <definedName name="PPPPP" localSheetId="3">#REF!</definedName>
    <definedName name="PPPPP" localSheetId="6">#REF!</definedName>
    <definedName name="PPPPP" localSheetId="4">#REF!</definedName>
    <definedName name="PPPPP" localSheetId="5">#REF!</definedName>
    <definedName name="PPPPP">#REF!</definedName>
    <definedName name="_xlnm.Print_Area" localSheetId="0">'AP10 1,2,3'!$A$1:$P$87</definedName>
    <definedName name="_xlnm.Print_Area" localSheetId="2">'AP10 1,2,3,5,7,8,9,15,17,18'!$A$1:$P$42</definedName>
    <definedName name="_xlnm.Print_Area" localSheetId="1">'AP10 12,13'!$A$1:$P$27</definedName>
    <definedName name="_xlnm.Print_Area" localSheetId="3">'AP11 1,3,5,7,8,9,10'!$A$1:$P$54</definedName>
    <definedName name="_xlnm.Print_Area" localSheetId="6">'AP11 1,3,5,7,8,9,10 new'!$A$1:$P$60</definedName>
    <definedName name="_xlnm.Print_Area" localSheetId="4">'AP11 2,7,10'!$A$1:$P$51</definedName>
    <definedName name="_xlnm.Print_Area" localSheetId="5">'AP11 7,8,10'!$A$1:$P$21</definedName>
    <definedName name="_xlnm.Print_Titles" localSheetId="0">'AP10 1,2,3'!$1:$1</definedName>
    <definedName name="_xlnm.Print_Titles" localSheetId="2">'AP10 1,2,3,5,7,8,9,15,17,18'!$1:$1</definedName>
    <definedName name="_xlnm.Print_Titles" localSheetId="1">'AP10 12,13'!$1:$1</definedName>
    <definedName name="_xlnm.Print_Titles" localSheetId="3">'AP11 1,3,5,7,8,9,10'!$1:$1</definedName>
    <definedName name="_xlnm.Print_Titles" localSheetId="6">'AP11 1,3,5,7,8,9,10 new'!$1:$1</definedName>
    <definedName name="_xlnm.Print_Titles" localSheetId="4">'AP11 2,7,10'!$1:$1</definedName>
    <definedName name="_xlnm.Print_Titles" localSheetId="5">'AP11 7,8,10'!$1:$1</definedName>
    <definedName name="QQQQ" localSheetId="0">#REF!</definedName>
    <definedName name="QQQQ" localSheetId="2">#REF!</definedName>
    <definedName name="QQQQ" localSheetId="1">#REF!</definedName>
    <definedName name="QQQQ" localSheetId="3">#REF!</definedName>
    <definedName name="QQQQ" localSheetId="6">#REF!</definedName>
    <definedName name="QQQQ" localSheetId="4">#REF!</definedName>
    <definedName name="QQQQ" localSheetId="5">#REF!</definedName>
    <definedName name="QQQQ">#REF!</definedName>
    <definedName name="QQQQQQQ" localSheetId="0">#REF!</definedName>
    <definedName name="QQQQQQQ" localSheetId="2">#REF!</definedName>
    <definedName name="QQQQQQQ" localSheetId="1">#REF!</definedName>
    <definedName name="QQQQQQQ" localSheetId="3">#REF!</definedName>
    <definedName name="QQQQQQQ" localSheetId="6">#REF!</definedName>
    <definedName name="QQQQQQQ" localSheetId="4">#REF!</definedName>
    <definedName name="QQQQQQQ" localSheetId="5">#REF!</definedName>
    <definedName name="QQQQQQQ">#REF!</definedName>
    <definedName name="qweee" localSheetId="0">#REF!</definedName>
    <definedName name="qweee" localSheetId="2">#REF!</definedName>
    <definedName name="qweee" localSheetId="1">#REF!</definedName>
    <definedName name="qweee" localSheetId="3">#REF!</definedName>
    <definedName name="qweee" localSheetId="6">#REF!</definedName>
    <definedName name="qweee" localSheetId="4">#REF!</definedName>
    <definedName name="qweee" localSheetId="5">#REF!</definedName>
    <definedName name="qweee">#REF!</definedName>
    <definedName name="rrreee" localSheetId="0">#REF!</definedName>
    <definedName name="rrreee" localSheetId="2">#REF!</definedName>
    <definedName name="rrreee" localSheetId="1">#REF!</definedName>
    <definedName name="rrreee" localSheetId="3">#REF!</definedName>
    <definedName name="rrreee" localSheetId="6">#REF!</definedName>
    <definedName name="rrreee" localSheetId="4">#REF!</definedName>
    <definedName name="rrreee" localSheetId="5">#REF!</definedName>
    <definedName name="rrreee">#REF!</definedName>
    <definedName name="rrrrr" localSheetId="0">#REF!</definedName>
    <definedName name="rrrrr" localSheetId="2">#REF!</definedName>
    <definedName name="rrrrr" localSheetId="1">#REF!</definedName>
    <definedName name="rrrrr" localSheetId="3">#REF!</definedName>
    <definedName name="rrrrr" localSheetId="6">#REF!</definedName>
    <definedName name="rrrrr" localSheetId="4">#REF!</definedName>
    <definedName name="rrrrr" localSheetId="5">#REF!</definedName>
    <definedName name="rrrrr">#REF!</definedName>
    <definedName name="rrrrrrf" localSheetId="0">#REF!</definedName>
    <definedName name="rrrrrrf" localSheetId="2">#REF!</definedName>
    <definedName name="rrrrrrf" localSheetId="1">#REF!</definedName>
    <definedName name="rrrrrrf" localSheetId="3">#REF!</definedName>
    <definedName name="rrrrrrf" localSheetId="6">#REF!</definedName>
    <definedName name="rrrrrrf" localSheetId="4">#REF!</definedName>
    <definedName name="rrrrrrf" localSheetId="5">#REF!</definedName>
    <definedName name="rrrrrrf">#REF!</definedName>
    <definedName name="rrrrttttt" localSheetId="0">#REF!</definedName>
    <definedName name="rrrrttttt" localSheetId="2">#REF!</definedName>
    <definedName name="rrrrttttt" localSheetId="1">#REF!</definedName>
    <definedName name="rrrrttttt" localSheetId="3">#REF!</definedName>
    <definedName name="rrrrttttt" localSheetId="6">#REF!</definedName>
    <definedName name="rrrrttttt" localSheetId="4">#REF!</definedName>
    <definedName name="rrrrttttt" localSheetId="5">#REF!</definedName>
    <definedName name="rrrrttttt">#REF!</definedName>
    <definedName name="rrrttt" localSheetId="0">#REF!</definedName>
    <definedName name="rrrttt" localSheetId="2">#REF!</definedName>
    <definedName name="rrrttt" localSheetId="1">#REF!</definedName>
    <definedName name="rrrttt" localSheetId="3">#REF!</definedName>
    <definedName name="rrrttt" localSheetId="6">#REF!</definedName>
    <definedName name="rrrttt" localSheetId="4">#REF!</definedName>
    <definedName name="rrrttt" localSheetId="5">#REF!</definedName>
    <definedName name="rrrttt">#REF!</definedName>
    <definedName name="rud" localSheetId="0">#REF!</definedName>
    <definedName name="rud" localSheetId="2">#REF!</definedName>
    <definedName name="rud" localSheetId="1">#REF!</definedName>
    <definedName name="rud" localSheetId="3">#REF!</definedName>
    <definedName name="rud" localSheetId="6">#REF!</definedName>
    <definedName name="rud" localSheetId="4">#REF!</definedName>
    <definedName name="rud" localSheetId="5">#REF!</definedName>
    <definedName name="rud">#REF!</definedName>
    <definedName name="ss" localSheetId="0">#REF!</definedName>
    <definedName name="ss" localSheetId="2">#REF!</definedName>
    <definedName name="ss" localSheetId="1">#REF!</definedName>
    <definedName name="ss" localSheetId="3">#REF!</definedName>
    <definedName name="ss" localSheetId="6">#REF!</definedName>
    <definedName name="ss" localSheetId="4">#REF!</definedName>
    <definedName name="ss" localSheetId="5">#REF!</definedName>
    <definedName name="ss">#REF!</definedName>
    <definedName name="SSSS" localSheetId="0">#REF!</definedName>
    <definedName name="SSSS" localSheetId="2">#REF!</definedName>
    <definedName name="SSSS" localSheetId="1">#REF!</definedName>
    <definedName name="SSSS" localSheetId="3">#REF!</definedName>
    <definedName name="SSSS" localSheetId="6">#REF!</definedName>
    <definedName name="SSSS" localSheetId="4">#REF!</definedName>
    <definedName name="SSSS" localSheetId="5">#REF!</definedName>
    <definedName name="SSSS">#REF!</definedName>
    <definedName name="SSSSSSS" localSheetId="0">#REF!</definedName>
    <definedName name="SSSSSSS" localSheetId="2">#REF!</definedName>
    <definedName name="SSSSSSS" localSheetId="1">#REF!</definedName>
    <definedName name="SSSSSSS" localSheetId="3">#REF!</definedName>
    <definedName name="SSSSSSS" localSheetId="6">#REF!</definedName>
    <definedName name="SSSSSSS" localSheetId="4">#REF!</definedName>
    <definedName name="SSSSSSS" localSheetId="5">#REF!</definedName>
    <definedName name="SSSSSSS">#REF!</definedName>
    <definedName name="swer" localSheetId="0">#REF!</definedName>
    <definedName name="swer" localSheetId="2">#REF!</definedName>
    <definedName name="swer" localSheetId="1">#REF!</definedName>
    <definedName name="swer" localSheetId="3">#REF!</definedName>
    <definedName name="swer" localSheetId="6">#REF!</definedName>
    <definedName name="swer" localSheetId="4">#REF!</definedName>
    <definedName name="swer" localSheetId="5">#REF!</definedName>
    <definedName name="swer">#REF!</definedName>
    <definedName name="ttttt" localSheetId="0">#REF!</definedName>
    <definedName name="ttttt" localSheetId="2">#REF!</definedName>
    <definedName name="ttttt" localSheetId="1">#REF!</definedName>
    <definedName name="ttttt" localSheetId="3">#REF!</definedName>
    <definedName name="ttttt" localSheetId="6">#REF!</definedName>
    <definedName name="ttttt" localSheetId="4">#REF!</definedName>
    <definedName name="ttttt" localSheetId="5">#REF!</definedName>
    <definedName name="ttttt">#REF!</definedName>
    <definedName name="tttttttt" localSheetId="0">#REF!</definedName>
    <definedName name="tttttttt" localSheetId="2">#REF!</definedName>
    <definedName name="tttttttt" localSheetId="1">#REF!</definedName>
    <definedName name="tttttttt" localSheetId="3">#REF!</definedName>
    <definedName name="tttttttt" localSheetId="6">#REF!</definedName>
    <definedName name="tttttttt" localSheetId="4">#REF!</definedName>
    <definedName name="tttttttt" localSheetId="5">#REF!</definedName>
    <definedName name="tttttttt">#REF!</definedName>
    <definedName name="VVVVVVV" localSheetId="0">#REF!</definedName>
    <definedName name="VVVVVVV" localSheetId="2">#REF!</definedName>
    <definedName name="VVVVVVV" localSheetId="1">#REF!</definedName>
    <definedName name="VVVVVVV" localSheetId="3">#REF!</definedName>
    <definedName name="VVVVVVV" localSheetId="6">#REF!</definedName>
    <definedName name="VVVVVVV" localSheetId="4">#REF!</definedName>
    <definedName name="VVVVVVV" localSheetId="5">#REF!</definedName>
    <definedName name="VVVVVVV">#REF!</definedName>
    <definedName name="yyyy" localSheetId="0">#REF!</definedName>
    <definedName name="yyyy" localSheetId="2">#REF!</definedName>
    <definedName name="yyyy" localSheetId="1">#REF!</definedName>
    <definedName name="yyyy" localSheetId="3">#REF!</definedName>
    <definedName name="yyyy" localSheetId="6">#REF!</definedName>
    <definedName name="yyyy" localSheetId="4">#REF!</definedName>
    <definedName name="yyyy" localSheetId="5">#REF!</definedName>
    <definedName name="yyy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7" l="1"/>
  <c r="J28" i="7"/>
  <c r="J24" i="7"/>
  <c r="H36" i="7" l="1"/>
  <c r="J30" i="7"/>
  <c r="J12" i="7"/>
  <c r="Q36" i="7" l="1"/>
  <c r="Q35" i="7"/>
  <c r="Q34" i="7"/>
  <c r="Q26" i="7"/>
  <c r="M41" i="7"/>
  <c r="P49" i="7" s="1"/>
  <c r="M42" i="7"/>
  <c r="M39" i="7" l="1"/>
  <c r="P47" i="7" s="1"/>
  <c r="M44" i="7"/>
  <c r="P52" i="7" s="1"/>
  <c r="M43" i="7" l="1"/>
  <c r="P51" i="7" s="1"/>
  <c r="P50" i="7"/>
  <c r="M40" i="7"/>
  <c r="P48" i="7" s="1"/>
  <c r="M38" i="7"/>
  <c r="P46" i="7" s="1"/>
  <c r="P53" i="7" l="1"/>
</calcChain>
</file>

<file path=xl/sharedStrings.xml><?xml version="1.0" encoding="utf-8"?>
<sst xmlns="http://schemas.openxmlformats.org/spreadsheetml/2006/main" count="2019" uniqueCount="394">
  <si>
    <t>说明Note:具体生产请根据生管周进度及日指示执行 Actual production please Follow production control weekly schedule and hourly plan to run.</t>
  </si>
  <si>
    <t xml:space="preserve">楦头 </t>
  </si>
  <si>
    <t>订单交期</t>
  </si>
  <si>
    <t>CRD</t>
  </si>
  <si>
    <t>鞋型</t>
  </si>
  <si>
    <t xml:space="preserve"> 模号</t>
  </si>
  <si>
    <t>客户PO号</t>
  </si>
  <si>
    <t>ART.NO</t>
  </si>
  <si>
    <t>数量</t>
  </si>
  <si>
    <t>国家</t>
  </si>
  <si>
    <t>针车组别</t>
  </si>
  <si>
    <t>备注1</t>
  </si>
  <si>
    <t>备注2</t>
  </si>
  <si>
    <t xml:space="preserve"> WEEK</t>
  </si>
  <si>
    <t>Last No</t>
  </si>
  <si>
    <t>LPD</t>
  </si>
  <si>
    <t>Shoe Name</t>
  </si>
  <si>
    <t>Mold No</t>
  </si>
  <si>
    <t>CO NO</t>
  </si>
  <si>
    <t>SAP P/O</t>
  </si>
  <si>
    <t>Art No</t>
  </si>
  <si>
    <t>Qty</t>
  </si>
  <si>
    <t>Class Code</t>
  </si>
  <si>
    <t>Destination</t>
  </si>
  <si>
    <t>Assembly</t>
  </si>
  <si>
    <t>Remark 1</t>
  </si>
  <si>
    <t>PSDD</t>
  </si>
  <si>
    <t>RECEPIT DATE</t>
  </si>
  <si>
    <t>21035</t>
  </si>
  <si>
    <t>ULTIMASHOW 2.0/M(1)</t>
  </si>
  <si>
    <t>65674</t>
  </si>
  <si>
    <t>IE8900</t>
  </si>
  <si>
    <t>P2</t>
  </si>
  <si>
    <t>Turkey</t>
  </si>
  <si>
    <t>RESCHEDULE</t>
  </si>
  <si>
    <t>IE8898</t>
  </si>
  <si>
    <t>Chile</t>
  </si>
  <si>
    <t>Panama</t>
  </si>
  <si>
    <t>Peru</t>
  </si>
  <si>
    <t>0901311044&amp;1</t>
  </si>
  <si>
    <t>1000255980</t>
  </si>
  <si>
    <t>P1</t>
  </si>
  <si>
    <t>Germany</t>
  </si>
  <si>
    <t>UPPER TO AP9</t>
  </si>
  <si>
    <t>PO QTY:3630</t>
  </si>
  <si>
    <t>0901404574&amp;1</t>
  </si>
  <si>
    <t>1000261106</t>
  </si>
  <si>
    <t>IH8945</t>
  </si>
  <si>
    <t>Morocco</t>
  </si>
  <si>
    <t>PO QTY:516</t>
  </si>
  <si>
    <t>Saudi Arabia</t>
  </si>
  <si>
    <t>0901178205&amp;1</t>
  </si>
  <si>
    <t>1000251076</t>
  </si>
  <si>
    <t>IH8954</t>
  </si>
  <si>
    <t>PODD:7/11</t>
  </si>
  <si>
    <t>IH8948</t>
  </si>
  <si>
    <t>P3</t>
  </si>
  <si>
    <t>Philippines</t>
  </si>
  <si>
    <t>JQ1705</t>
  </si>
  <si>
    <t>0901283444&amp;1</t>
  </si>
  <si>
    <t>1000255452</t>
  </si>
  <si>
    <t>0901530193&amp;1</t>
  </si>
  <si>
    <t>1000266969</t>
  </si>
  <si>
    <t>0901530243&amp;1</t>
  </si>
  <si>
    <t>1000266970</t>
  </si>
  <si>
    <t>0901530354&amp;1</t>
  </si>
  <si>
    <t>1000266972</t>
  </si>
  <si>
    <t>0901530412&amp;1</t>
  </si>
  <si>
    <t>1000266973</t>
  </si>
  <si>
    <t>0901535350&amp;1</t>
  </si>
  <si>
    <t>1000267002</t>
  </si>
  <si>
    <t>Indonesia</t>
  </si>
  <si>
    <t>0901587569&amp;1</t>
  </si>
  <si>
    <t>1000272046</t>
  </si>
  <si>
    <t>IE8899</t>
  </si>
  <si>
    <t>Uruguay</t>
  </si>
  <si>
    <t>0901601546&amp;1</t>
  </si>
  <si>
    <t>1000272201</t>
  </si>
  <si>
    <t>ULTIMASHOW 2.0 W(1)</t>
  </si>
  <si>
    <t>0901296032&amp;1</t>
  </si>
  <si>
    <t>1000255692</t>
  </si>
  <si>
    <t>IE8902</t>
  </si>
  <si>
    <t>0901328297&amp;1</t>
  </si>
  <si>
    <t>1000256141</t>
  </si>
  <si>
    <t>Utd.Arab Emir.</t>
  </si>
  <si>
    <t>0901529035&amp;1</t>
  </si>
  <si>
    <t>1000266958</t>
  </si>
  <si>
    <t>0901296119&amp;1</t>
  </si>
  <si>
    <t>1000255694</t>
  </si>
  <si>
    <t>Mexico</t>
  </si>
  <si>
    <t>0901525310&amp;1</t>
  </si>
  <si>
    <t>1000266908</t>
  </si>
  <si>
    <t>0901527048&amp;1</t>
  </si>
  <si>
    <t>1000266934</t>
  </si>
  <si>
    <t>0901427771&amp;1</t>
  </si>
  <si>
    <t>1000262472</t>
  </si>
  <si>
    <t>0901427777&amp;1</t>
  </si>
  <si>
    <t>1000262473</t>
  </si>
  <si>
    <t>ULTIMASHOW 2.0 J(1)</t>
  </si>
  <si>
    <t>4500812007&amp;1</t>
  </si>
  <si>
    <t>1000257568</t>
  </si>
  <si>
    <t>JH6102</t>
  </si>
  <si>
    <t/>
  </si>
  <si>
    <t>South Africa</t>
  </si>
  <si>
    <t>0901401250&amp;1</t>
  </si>
  <si>
    <t>1000261030</t>
  </si>
  <si>
    <t>ULTIMASHOW 2.0 /M(1)</t>
  </si>
  <si>
    <t>11/02-11/08</t>
  </si>
  <si>
    <t>0901105080&amp;1</t>
  </si>
  <si>
    <t>1000248363</t>
  </si>
  <si>
    <t>IE8904</t>
  </si>
  <si>
    <t>0901427766&amp;1</t>
  </si>
  <si>
    <t>1000262471</t>
  </si>
  <si>
    <t>0901427789&amp;1</t>
  </si>
  <si>
    <t>1000262475</t>
  </si>
  <si>
    <t>0901297270&amp;1</t>
  </si>
  <si>
    <t>1000255722</t>
  </si>
  <si>
    <t>IH0326</t>
  </si>
  <si>
    <t>0901328361&amp;1</t>
  </si>
  <si>
    <t>1000256142</t>
  </si>
  <si>
    <t>0901531408&amp;1</t>
  </si>
  <si>
    <t>1000266981</t>
  </si>
  <si>
    <t>Thailand</t>
  </si>
  <si>
    <t>0901531259&amp;1</t>
  </si>
  <si>
    <t>1000266978</t>
  </si>
  <si>
    <t>0901283514&amp;1</t>
  </si>
  <si>
    <t>1000255454</t>
  </si>
  <si>
    <t>PODD:11/21</t>
  </si>
  <si>
    <t>0901538486&amp;1</t>
  </si>
  <si>
    <t>1000267021</t>
  </si>
  <si>
    <t>IG4396</t>
  </si>
  <si>
    <t>0901307233&amp;1</t>
  </si>
  <si>
    <t>1000255932</t>
  </si>
  <si>
    <t>KK4510</t>
  </si>
  <si>
    <t>0901296535&amp;1</t>
  </si>
  <si>
    <t>1000255706</t>
  </si>
  <si>
    <t>11/09-11/15</t>
  </si>
  <si>
    <t>0901482829&amp;1</t>
  </si>
  <si>
    <t>1000266433</t>
  </si>
  <si>
    <t>0901482935&amp;1</t>
  </si>
  <si>
    <t>1000266434</t>
  </si>
  <si>
    <t>0901484209&amp;1</t>
  </si>
  <si>
    <t>1000266440</t>
  </si>
  <si>
    <t>0901409476&amp;1</t>
  </si>
  <si>
    <t>1000261150</t>
  </si>
  <si>
    <t>0901394667&amp;1</t>
  </si>
  <si>
    <t>1000260793</t>
  </si>
  <si>
    <t>0901427623&amp;1</t>
  </si>
  <si>
    <t>1000262431</t>
  </si>
  <si>
    <t>0901503061&amp;1</t>
  </si>
  <si>
    <t>1000266541</t>
  </si>
  <si>
    <t>0901513091&amp;1</t>
  </si>
  <si>
    <t>1000266682</t>
  </si>
  <si>
    <t>0901175909&amp;1</t>
  </si>
  <si>
    <t>1000251037</t>
  </si>
  <si>
    <t>0901305973&amp;1</t>
  </si>
  <si>
    <t>1000255914</t>
  </si>
  <si>
    <t>0901425918&amp;1</t>
  </si>
  <si>
    <t>1000262392</t>
  </si>
  <si>
    <t>0901405362&amp;1</t>
  </si>
  <si>
    <t>1000261114</t>
  </si>
  <si>
    <t>0901423228&amp;1</t>
  </si>
  <si>
    <t>1000262373</t>
  </si>
  <si>
    <t>0901505720&amp;1</t>
  </si>
  <si>
    <t>1000266577</t>
  </si>
  <si>
    <t>0901509164&amp;1</t>
  </si>
  <si>
    <t>1000266629</t>
  </si>
  <si>
    <t>11/16-11/22</t>
  </si>
  <si>
    <t>0901542948&amp;1</t>
  </si>
  <si>
    <t>1000267031</t>
  </si>
  <si>
    <t>0901543027&amp;1</t>
  </si>
  <si>
    <t>1000267035</t>
  </si>
  <si>
    <t>11/23-11/29</t>
  </si>
  <si>
    <t>0901427760&amp;1</t>
  </si>
  <si>
    <t>1000262470</t>
  </si>
  <si>
    <t>0901517598&amp;1</t>
  </si>
  <si>
    <t>1000266764</t>
  </si>
  <si>
    <t>Taiwan</t>
  </si>
  <si>
    <t>ULTIMASHOW 2.0 W/(1)</t>
  </si>
  <si>
    <t>0901105030&amp;1</t>
  </si>
  <si>
    <t>1000248273</t>
  </si>
  <si>
    <t>0901531338&amp;1</t>
  </si>
  <si>
    <t>1000266979</t>
  </si>
  <si>
    <t>PODD:05/01/2026</t>
  </si>
  <si>
    <t>0901427688&amp;1</t>
  </si>
  <si>
    <t>1000262459</t>
  </si>
  <si>
    <t>0901597592&amp;1</t>
  </si>
  <si>
    <t>1000272138</t>
  </si>
  <si>
    <t>Monaco</t>
  </si>
  <si>
    <t>0901297200&amp;1</t>
  </si>
  <si>
    <t>1000255718</t>
  </si>
  <si>
    <t>0901427621&amp;1</t>
  </si>
  <si>
    <t>1000262429</t>
  </si>
  <si>
    <t>0901427695&amp;1</t>
  </si>
  <si>
    <t>1000262460</t>
  </si>
  <si>
    <t>0901306143&amp;1</t>
  </si>
  <si>
    <t>1000255916</t>
  </si>
  <si>
    <t>0901401181&amp;1</t>
  </si>
  <si>
    <t>1000261028</t>
  </si>
  <si>
    <t>0901409557&amp;1</t>
  </si>
  <si>
    <t>1000261152</t>
  </si>
  <si>
    <t>0901484333&amp;1</t>
  </si>
  <si>
    <t>1000266441</t>
  </si>
  <si>
    <t>0901518676&amp;1</t>
  </si>
  <si>
    <t>1000266779</t>
  </si>
  <si>
    <t>0901402498&amp;1</t>
  </si>
  <si>
    <t>1000261075</t>
  </si>
  <si>
    <t>0901504606&amp;1</t>
  </si>
  <si>
    <t>1000266567</t>
  </si>
  <si>
    <t>日期DATE</t>
  </si>
  <si>
    <t>AP10 S01</t>
  </si>
  <si>
    <t>AP10 S02</t>
  </si>
  <si>
    <t>AP10 S03</t>
  </si>
  <si>
    <t>TOTAL</t>
  </si>
  <si>
    <t>审核
Checked by</t>
  </si>
  <si>
    <t>制定 Made by : SAILU-M</t>
  </si>
  <si>
    <t>APC/QMS-PLN/R03</t>
  </si>
  <si>
    <t>PO QTY:419</t>
  </si>
  <si>
    <t>PO QTY:348</t>
  </si>
  <si>
    <t>PO QTY:186</t>
  </si>
  <si>
    <t>PO QTY:2280</t>
  </si>
  <si>
    <t>PO QTY:215</t>
  </si>
  <si>
    <t>PO QTY:1102</t>
  </si>
  <si>
    <t>PO QTY:204</t>
  </si>
  <si>
    <t>PO QTY:129</t>
  </si>
  <si>
    <t>PO QTY:1872</t>
  </si>
  <si>
    <t>PO QTY:785</t>
  </si>
  <si>
    <t>PO QTY:1002</t>
  </si>
  <si>
    <t>PO QTY:1767</t>
  </si>
  <si>
    <t>PO QTY:791</t>
  </si>
  <si>
    <t>PO QTY:205</t>
  </si>
  <si>
    <t>41514</t>
  </si>
  <si>
    <t>CLOUDFOAM FLEX - LACES W(1)</t>
  </si>
  <si>
    <t>71722</t>
  </si>
  <si>
    <t>HQ4960</t>
  </si>
  <si>
    <t>USA</t>
  </si>
  <si>
    <t>PO:30051 prs</t>
  </si>
  <si>
    <t>AP10 S17</t>
  </si>
  <si>
    <t>AP10 S18</t>
  </si>
  <si>
    <t>11/30-12/06</t>
  </si>
  <si>
    <t>12/07-12/13</t>
  </si>
  <si>
    <t>0901602099&amp;1</t>
  </si>
  <si>
    <t>1000272213</t>
  </si>
  <si>
    <t>HQ4955</t>
  </si>
  <si>
    <t>0901189880&amp;1</t>
  </si>
  <si>
    <t>1000259058</t>
  </si>
  <si>
    <t>HQ4958</t>
  </si>
  <si>
    <t>AP10 S08</t>
  </si>
  <si>
    <t>AP10 S09</t>
  </si>
  <si>
    <t>12/14-12/20</t>
  </si>
  <si>
    <t>0901306182&amp;1</t>
  </si>
  <si>
    <t>1000255918</t>
  </si>
  <si>
    <t>AP10 S12</t>
  </si>
  <si>
    <t>AP10 S13</t>
  </si>
  <si>
    <t>CLOUDFOAM FLEX - SLOUNGE W(2)</t>
  </si>
  <si>
    <t>0901106251&amp;1</t>
  </si>
  <si>
    <t>1000248286</t>
  </si>
  <si>
    <t>KI3453</t>
  </si>
  <si>
    <t>CLOUDFOAM FLEX - SLOUNGE W(3)</t>
  </si>
  <si>
    <t>0901103342&amp;1</t>
  </si>
  <si>
    <t>1000248245</t>
  </si>
  <si>
    <t>KI3458</t>
  </si>
  <si>
    <t>0901106337&amp;1</t>
  </si>
  <si>
    <t>1000248287</t>
  </si>
  <si>
    <t>KI3457</t>
  </si>
  <si>
    <t>0901316645&amp;1</t>
  </si>
  <si>
    <t>1000256056</t>
  </si>
  <si>
    <t>KI3456</t>
  </si>
  <si>
    <t>CLOUDFOAM FLEX - SLOUNGE W(1)</t>
  </si>
  <si>
    <t>0901314898&amp;1</t>
  </si>
  <si>
    <t>1000256018</t>
  </si>
  <si>
    <t>KI1460</t>
  </si>
  <si>
    <t>AP10 S05</t>
  </si>
  <si>
    <t>AP10 S07</t>
  </si>
  <si>
    <t>0901671483&amp;1</t>
  </si>
  <si>
    <t>1000282432</t>
  </si>
  <si>
    <t>KI1459</t>
  </si>
  <si>
    <t>KI3455</t>
  </si>
  <si>
    <t>Italy</t>
  </si>
  <si>
    <t>CLOUDFOAM FLEX - LACES W(2)</t>
  </si>
  <si>
    <t>HQ4844</t>
  </si>
  <si>
    <t>0901402437&amp;1</t>
  </si>
  <si>
    <t>1000261071</t>
  </si>
  <si>
    <t>0901316270&amp;1</t>
  </si>
  <si>
    <t>1000256036</t>
  </si>
  <si>
    <t>KI7410</t>
  </si>
  <si>
    <t>CLOUDFOAM FLEX - SLOUNGE/ W(1)</t>
  </si>
  <si>
    <t>0901300096&amp;1</t>
  </si>
  <si>
    <t>1000255802</t>
  </si>
  <si>
    <t>0901316380&amp;1</t>
  </si>
  <si>
    <t>1000256041</t>
  </si>
  <si>
    <t>0901316560&amp;1</t>
  </si>
  <si>
    <t>1000256053</t>
  </si>
  <si>
    <t>BARREDA (APC2A)</t>
  </si>
  <si>
    <t>53115</t>
  </si>
  <si>
    <t>900104552</t>
  </si>
  <si>
    <t>1000217063</t>
  </si>
  <si>
    <t>JL2202</t>
  </si>
  <si>
    <t>India</t>
  </si>
  <si>
    <t>PO QTY:6000</t>
  </si>
  <si>
    <t>CLOUDFOAM GO SOCK M(1)</t>
  </si>
  <si>
    <t>65828</t>
  </si>
  <si>
    <t>0900807049&amp;1</t>
  </si>
  <si>
    <t>1000229873</t>
  </si>
  <si>
    <t>ID4037</t>
  </si>
  <si>
    <t>PO QTY:681</t>
  </si>
  <si>
    <t>0901284178&amp;1</t>
  </si>
  <si>
    <t>1000255470</t>
  </si>
  <si>
    <t>HOLD</t>
  </si>
  <si>
    <t>PODD:12/06</t>
  </si>
  <si>
    <t>0901536842&amp;1</t>
  </si>
  <si>
    <t>1000267017</t>
  </si>
  <si>
    <t>PODD:12/15/2025</t>
  </si>
  <si>
    <t>0901536715&amp;1</t>
  </si>
  <si>
    <t>1000267015</t>
  </si>
  <si>
    <t>PODD:12/22/2025</t>
  </si>
  <si>
    <t>AP11 L02</t>
  </si>
  <si>
    <t>AP11 L07</t>
  </si>
  <si>
    <t>AP11 L10</t>
  </si>
  <si>
    <t>PO:2700 prs</t>
  </si>
  <si>
    <t>415</t>
  </si>
  <si>
    <t>50</t>
  </si>
  <si>
    <t>`</t>
  </si>
  <si>
    <t>12/21-12/27</t>
  </si>
  <si>
    <t xml:space="preserve">APC/QMS-PLN/R03 </t>
  </si>
  <si>
    <t>PO:1280 prs</t>
  </si>
  <si>
    <r>
      <rPr>
        <b/>
        <sz val="12"/>
        <color indexed="8"/>
        <rFont val="Arial"/>
        <family val="2"/>
      </rPr>
      <t>客户PO号</t>
    </r>
  </si>
  <si>
    <t>AP11 L01</t>
  </si>
  <si>
    <t>AP11 L08</t>
  </si>
  <si>
    <t>AP11 L09</t>
  </si>
  <si>
    <t>AP11 L03</t>
  </si>
  <si>
    <t>AP11 L05</t>
  </si>
  <si>
    <t xml:space="preserve"> </t>
  </si>
  <si>
    <t>0901501944&amp;1</t>
  </si>
  <si>
    <t>1000266519</t>
  </si>
  <si>
    <t>Israel</t>
  </si>
  <si>
    <t>0901316487&amp;1</t>
  </si>
  <si>
    <t>1000256049</t>
  </si>
  <si>
    <t>0901318275&amp;1</t>
  </si>
  <si>
    <t>1000256063</t>
  </si>
  <si>
    <t>0901291331&amp;1</t>
  </si>
  <si>
    <t>1000255611</t>
  </si>
  <si>
    <t>0901393619&amp;1</t>
  </si>
  <si>
    <t>1000260759</t>
  </si>
  <si>
    <t>HQ4954</t>
  </si>
  <si>
    <t>0901393336&amp;1</t>
  </si>
  <si>
    <t>1000260738</t>
  </si>
  <si>
    <t>0901603846&amp;1</t>
  </si>
  <si>
    <t>1000272227</t>
  </si>
  <si>
    <t>Japan</t>
  </si>
  <si>
    <t>0901396108&amp;1</t>
  </si>
  <si>
    <t>1000260845</t>
  </si>
  <si>
    <t>0901406314&amp;1</t>
  </si>
  <si>
    <t>1000261127</t>
  </si>
  <si>
    <t>0901603742&amp;1</t>
  </si>
  <si>
    <t>1000272224</t>
  </si>
  <si>
    <t>CLOUDFOAM FLEX - LACES M(1)</t>
  </si>
  <si>
    <t>0901724461&amp;1</t>
  </si>
  <si>
    <t>HQ4854</t>
  </si>
  <si>
    <t>0901183089&amp;1</t>
  </si>
  <si>
    <t>KK3489</t>
  </si>
  <si>
    <t>70841</t>
  </si>
  <si>
    <t>AP10 S15</t>
  </si>
  <si>
    <t>1000286131</t>
  </si>
  <si>
    <t>1000251446</t>
  </si>
  <si>
    <t>21078</t>
  </si>
  <si>
    <t>41TUR</t>
  </si>
  <si>
    <t xml:space="preserve">  </t>
  </si>
  <si>
    <t xml:space="preserve">DECEMBER OFFICIAL SCHEDULE  线别   Cell: AP11 L01/L03/L05/L07/L08/L09/L10 数Manpower:  进度量Target:prs/9.0H     </t>
  </si>
  <si>
    <t>OUT SOLE ISSUE</t>
  </si>
  <si>
    <t>PO:1020 prs</t>
  </si>
  <si>
    <t>PO:17334 prs</t>
  </si>
  <si>
    <t>0901306406&amp;1</t>
  </si>
  <si>
    <t>PO QTY:30051</t>
  </si>
  <si>
    <t>GL UPPER</t>
  </si>
  <si>
    <t>1000255924</t>
  </si>
  <si>
    <t xml:space="preserve">DECEMBER OFFICIAL SCHEDULE  线别   Cell: AP11 L07/L08/L10 数Manpower:  进度量Target:prs/9.0H     </t>
  </si>
  <si>
    <t xml:space="preserve">DECEMBER OFFICIAL SCHEDULE  线别   Cell: AP10 C12/C13-AP10 S12/S13  数Manpower:  进度量Target:prs/9.0H     </t>
  </si>
  <si>
    <t>PO QTY SHARING TO AP09 &amp; AP11(QTY:11501)</t>
  </si>
  <si>
    <t xml:space="preserve">DECEMBER OFFICIAL SCHEDULE  线别   Cell: AP10 C01/C02/C03/C05/C07/C08/C09/C15/C17/C18-AP10 S01/S02/S03/S05/S07/S08/S09/S15/S17/S18  数Manpower:  进度量Target:prs/9.0H     </t>
  </si>
  <si>
    <t>0901298799&amp;1</t>
  </si>
  <si>
    <t>1000255758</t>
  </si>
  <si>
    <t>PO QTY SHARING AP09 &amp; AP10(PO QTY:15140)</t>
  </si>
  <si>
    <t>PO QTY:29774</t>
  </si>
  <si>
    <t>PO QTY SHARING AP09 &amp; AP11(PO QTY:15140)</t>
  </si>
  <si>
    <t>12/28-01/03</t>
  </si>
  <si>
    <t xml:space="preserve">DECEMBER OFFICIAL SCHEDULE  线别   Cell: AP11 L02/L07/L10 数Manpower:  进度量Target:prs/9.0H     </t>
  </si>
  <si>
    <t xml:space="preserve">DECEMBER REVISED OFFICIAL SCHEDULE  线别   Cell: AP10 C01/C02/C03-AP10 S01/S02/S03  数Manpower:  进度量Target:prs/9.0H     </t>
  </si>
  <si>
    <t>TOTAL=71573</t>
  </si>
  <si>
    <t>TOTAL=12715</t>
  </si>
  <si>
    <t>TOTAL=15526</t>
  </si>
  <si>
    <t>TOTAL=63243</t>
  </si>
  <si>
    <t>TOTAL=16816</t>
  </si>
  <si>
    <t>TOTAL=33210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</si>
</sst>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/d/yyyy;@"/>
    <numFmt numFmtId="165" formatCode="#,##0_ "/>
    <numFmt numFmtId="166" formatCode="m/d"/>
    <numFmt numFmtId="167" formatCode="[$-409]d/mmm;@"/>
  </numFmts>
  <fonts count="8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name val="宋体"/>
      <family val="3"/>
      <charset val="134"/>
    </font>
    <font>
      <b/>
      <sz val="12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>
      <alignment vertical="top"/>
    </xf>
    <xf numFmtId="0" fontId="4" fillId="0" borderId="0"/>
    <xf numFmtId="0" fontId="1" fillId="0" borderId="0">
      <alignment vertical="center"/>
    </xf>
    <xf numFmtId="0" fontId="1" fillId="0" borderId="0"/>
    <xf numFmtId="0" fontId="1" fillId="0" borderId="0">
      <alignment vertical="top"/>
    </xf>
    <xf numFmtId="167" fontId="6" fillId="0" borderId="0"/>
  </cellStyleXfs>
  <cellXfs count="157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 shrinkToFit="1"/>
    </xf>
    <xf numFmtId="164" fontId="2" fillId="2" borderId="5" xfId="2" applyNumberFormat="1" applyFont="1" applyFill="1" applyBorder="1" applyAlignment="1">
      <alignment horizontal="center" vertical="center" shrinkToFit="1"/>
    </xf>
    <xf numFmtId="0" fontId="5" fillId="2" borderId="5" xfId="2" applyFont="1" applyFill="1" applyBorder="1" applyAlignment="1">
      <alignment horizontal="center" vertical="center" shrinkToFit="1"/>
    </xf>
    <xf numFmtId="0" fontId="3" fillId="3" borderId="5" xfId="2" applyNumberFormat="1" applyFont="1" applyFill="1" applyBorder="1" applyAlignment="1">
      <alignment horizontal="center" vertical="center" shrinkToFit="1"/>
    </xf>
    <xf numFmtId="0" fontId="2" fillId="3" borderId="5" xfId="2" applyNumberFormat="1" applyFont="1" applyFill="1" applyBorder="1" applyAlignment="1">
      <alignment horizontal="center" vertical="center" shrinkToFit="1"/>
    </xf>
    <xf numFmtId="0" fontId="2" fillId="2" borderId="6" xfId="2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4" fontId="2" fillId="4" borderId="11" xfId="0" applyNumberFormat="1" applyFont="1" applyFill="1" applyBorder="1" applyAlignment="1">
      <alignment horizontal="center" vertical="center"/>
    </xf>
    <xf numFmtId="165" fontId="2" fillId="4" borderId="11" xfId="0" applyNumberFormat="1" applyFont="1" applyFill="1" applyBorder="1" applyAlignment="1">
      <alignment horizontal="center" vertical="center"/>
    </xf>
    <xf numFmtId="165" fontId="3" fillId="0" borderId="11" xfId="0" quotePrefix="1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2" fillId="4" borderId="9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/>
    </xf>
    <xf numFmtId="165" fontId="2" fillId="0" borderId="11" xfId="0" applyNumberFormat="1" applyFont="1" applyFill="1" applyBorder="1" applyAlignment="1">
      <alignment horizontal="center" vertical="center"/>
    </xf>
    <xf numFmtId="14" fontId="3" fillId="4" borderId="1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3" fillId="0" borderId="14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3" quotePrefix="1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4" fontId="3" fillId="0" borderId="11" xfId="0" applyNumberFormat="1" applyFont="1" applyFill="1" applyBorder="1" applyAlignment="1">
      <alignment horizontal="center" vertical="center"/>
    </xf>
    <xf numFmtId="165" fontId="3" fillId="0" borderId="11" xfId="0" applyNumberFormat="1" applyFont="1" applyFill="1" applyBorder="1" applyAlignment="1">
      <alignment horizontal="center" vertical="center"/>
    </xf>
    <xf numFmtId="14" fontId="3" fillId="0" borderId="15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14" fontId="3" fillId="0" borderId="16" xfId="0" applyNumberFormat="1" applyFont="1" applyFill="1" applyBorder="1" applyAlignment="1">
      <alignment horizontal="center" vertical="center"/>
    </xf>
    <xf numFmtId="165" fontId="3" fillId="0" borderId="16" xfId="0" applyNumberFormat="1" applyFont="1" applyFill="1" applyBorder="1" applyAlignment="1">
      <alignment horizontal="center" vertical="center"/>
    </xf>
    <xf numFmtId="165" fontId="3" fillId="0" borderId="16" xfId="0" quotePrefix="1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7" xfId="0" applyNumberFormat="1" applyFont="1" applyFill="1" applyBorder="1" applyAlignment="1">
      <alignment horizontal="center" vertical="center"/>
    </xf>
    <xf numFmtId="14" fontId="2" fillId="0" borderId="15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65" fontId="3" fillId="4" borderId="11" xfId="0" applyNumberFormat="1" applyFont="1" applyFill="1" applyBorder="1" applyAlignment="1">
      <alignment horizontal="center" vertical="center"/>
    </xf>
    <xf numFmtId="14" fontId="3" fillId="4" borderId="9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65" fontId="2" fillId="0" borderId="5" xfId="0" applyNumberFormat="1" applyFont="1" applyFill="1" applyBorder="1" applyAlignment="1">
      <alignment horizontal="center" vertical="center"/>
    </xf>
    <xf numFmtId="165" fontId="3" fillId="0" borderId="5" xfId="0" quotePrefix="1" applyNumberFormat="1" applyFont="1" applyFill="1" applyBorder="1" applyAlignment="1">
      <alignment horizontal="center" vertical="center"/>
    </xf>
    <xf numFmtId="14" fontId="2" fillId="0" borderId="7" xfId="0" applyNumberFormat="1" applyFont="1" applyFill="1" applyBorder="1" applyAlignment="1">
      <alignment horizontal="center" vertical="center"/>
    </xf>
    <xf numFmtId="14" fontId="2" fillId="0" borderId="9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14" fontId="2" fillId="4" borderId="7" xfId="0" applyNumberFormat="1" applyFont="1" applyFill="1" applyBorder="1" applyAlignment="1">
      <alignment horizontal="center" vertical="center"/>
    </xf>
    <xf numFmtId="0" fontId="2" fillId="0" borderId="1" xfId="2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6" fontId="3" fillId="3" borderId="5" xfId="4" quotePrefix="1" applyNumberFormat="1" applyFont="1" applyFill="1" applyBorder="1" applyAlignment="1">
      <alignment horizontal="center" vertical="center"/>
    </xf>
    <xf numFmtId="166" fontId="3" fillId="3" borderId="7" xfId="4" quotePrefix="1" applyNumberFormat="1" applyFont="1" applyFill="1" applyBorder="1" applyAlignment="1">
      <alignment horizontal="center" vertical="center"/>
    </xf>
    <xf numFmtId="0" fontId="2" fillId="0" borderId="8" xfId="4" applyFont="1" applyFill="1" applyBorder="1" applyAlignment="1">
      <alignment horizontal="center" vertical="center"/>
    </xf>
    <xf numFmtId="0" fontId="3" fillId="5" borderId="11" xfId="5" applyNumberFormat="1" applyFont="1" applyFill="1" applyBorder="1" applyAlignment="1">
      <alignment horizontal="center" vertical="center"/>
    </xf>
    <xf numFmtId="0" fontId="2" fillId="3" borderId="8" xfId="4" applyFont="1" applyFill="1" applyBorder="1" applyAlignment="1">
      <alignment horizontal="center" vertical="center" shrinkToFit="1"/>
    </xf>
    <xf numFmtId="0" fontId="3" fillId="3" borderId="11" xfId="5" applyNumberFormat="1" applyFont="1" applyFill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5" borderId="5" xfId="5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165" fontId="3" fillId="0" borderId="0" xfId="0" quotePrefix="1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4" fontId="2" fillId="4" borderId="15" xfId="0" applyNumberFormat="1" applyFont="1" applyFill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2" fillId="3" borderId="4" xfId="4" applyFont="1" applyFill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165" fontId="2" fillId="4" borderId="11" xfId="0" quotePrefix="1" applyNumberFormat="1" applyFont="1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4" fontId="7" fillId="0" borderId="11" xfId="0" applyNumberFormat="1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2" borderId="11" xfId="2" applyFont="1" applyFill="1" applyBorder="1" applyAlignment="1">
      <alignment horizontal="center" vertical="center" shrinkToFit="1"/>
    </xf>
    <xf numFmtId="0" fontId="3" fillId="0" borderId="0" xfId="0" quotePrefix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4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67" fontId="6" fillId="0" borderId="0" xfId="6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14" fontId="3" fillId="4" borderId="15" xfId="0" applyNumberFormat="1" applyFont="1" applyFill="1" applyBorder="1" applyAlignment="1">
      <alignment horizontal="center" vertical="center"/>
    </xf>
    <xf numFmtId="165" fontId="2" fillId="0" borderId="11" xfId="0" quotePrefix="1" applyNumberFormat="1" applyFont="1" applyFill="1" applyBorder="1" applyAlignment="1">
      <alignment horizontal="center" vertical="center"/>
    </xf>
    <xf numFmtId="0" fontId="2" fillId="0" borderId="11" xfId="0" quotePrefix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center" vertical="center"/>
    </xf>
    <xf numFmtId="0" fontId="2" fillId="4" borderId="11" xfId="0" quotePrefix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65" fontId="7" fillId="0" borderId="11" xfId="0" quotePrefix="1" applyNumberFormat="1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14" fontId="2" fillId="0" borderId="16" xfId="0" applyNumberFormat="1" applyFont="1" applyFill="1" applyBorder="1" applyAlignment="1">
      <alignment horizontal="center" vertical="center"/>
    </xf>
    <xf numFmtId="0" fontId="2" fillId="0" borderId="16" xfId="0" quotePrefix="1" applyFont="1" applyFill="1" applyBorder="1" applyAlignment="1">
      <alignment horizontal="center" vertical="center"/>
    </xf>
    <xf numFmtId="165" fontId="2" fillId="0" borderId="16" xfId="0" applyNumberFormat="1" applyFont="1" applyFill="1" applyBorder="1" applyAlignment="1">
      <alignment horizontal="center" vertical="center"/>
    </xf>
    <xf numFmtId="14" fontId="2" fillId="0" borderId="16" xfId="0" applyNumberFormat="1" applyFont="1" applyFill="1" applyBorder="1" applyAlignment="1">
      <alignment horizontal="center" vertical="center" wrapText="1"/>
    </xf>
    <xf numFmtId="14" fontId="2" fillId="4" borderId="16" xfId="0" applyNumberFormat="1" applyFont="1" applyFill="1" applyBorder="1" applyAlignment="1">
      <alignment horizontal="center" vertical="center"/>
    </xf>
    <xf numFmtId="14" fontId="2" fillId="0" borderId="17" xfId="0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10" xfId="2" applyFont="1" applyFill="1" applyBorder="1" applyAlignment="1">
      <alignment horizontal="center" vertical="center"/>
    </xf>
    <xf numFmtId="0" fontId="2" fillId="0" borderId="12" xfId="2" applyFont="1" applyFill="1" applyBorder="1" applyAlignment="1">
      <alignment horizontal="center" vertical="center"/>
    </xf>
    <xf numFmtId="0" fontId="2" fillId="0" borderId="13" xfId="2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165" fontId="2" fillId="0" borderId="3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7">
    <cellStyle name="Normal" xfId="0" builtinId="0"/>
    <cellStyle name="Normal 2" xfId="6"/>
    <cellStyle name="Normal 2 2" xfId="5"/>
    <cellStyle name="常规 2 3" xfId="1"/>
    <cellStyle name="常规 7 2" xfId="4"/>
    <cellStyle name="常规_APE  2013-05 正式ETC" xfId="2"/>
    <cellStyle name="常规_wrong client no issue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88"/>
  <sheetViews>
    <sheetView view="pageBreakPreview" topLeftCell="A76" zoomScale="86" zoomScaleNormal="100" zoomScaleSheetLayoutView="86" workbookViewId="0">
      <selection activeCell="G6" sqref="G6"/>
    </sheetView>
  </sheetViews>
  <sheetFormatPr defaultColWidth="28" defaultRowHeight="24.95" customHeight="1"/>
  <cols>
    <col min="1" max="1" width="14" style="1" bestFit="1" customWidth="1"/>
    <col min="2" max="2" width="9.7109375" style="1" bestFit="1" customWidth="1"/>
    <col min="3" max="4" width="13.42578125" style="1" bestFit="1" customWidth="1"/>
    <col min="5" max="5" width="39" style="1" bestFit="1" customWidth="1"/>
    <col min="6" max="6" width="10.7109375" style="1" bestFit="1" customWidth="1"/>
    <col min="7" max="7" width="17.5703125" style="1" bestFit="1" customWidth="1"/>
    <col min="8" max="8" width="14.42578125" style="1" bestFit="1" customWidth="1"/>
    <col min="9" max="9" width="10" style="1" bestFit="1" customWidth="1"/>
    <col min="10" max="10" width="9.140625" style="1" bestFit="1" customWidth="1"/>
    <col min="11" max="11" width="14.140625" style="1" customWidth="1"/>
    <col min="12" max="12" width="20.140625" style="1" bestFit="1" customWidth="1"/>
    <col min="13" max="13" width="17.85546875" style="1" customWidth="1"/>
    <col min="14" max="14" width="25.42578125" style="1" customWidth="1"/>
    <col min="15" max="15" width="25.42578125" style="1" bestFit="1" customWidth="1"/>
    <col min="16" max="16" width="24.42578125" style="1" bestFit="1" customWidth="1"/>
    <col min="17" max="17" width="10.140625" style="1" customWidth="1"/>
    <col min="18" max="18" width="13.7109375" style="1" customWidth="1"/>
    <col min="19" max="19" width="12.7109375" style="1" customWidth="1"/>
    <col min="20" max="16384" width="28" style="1"/>
  </cols>
  <sheetData>
    <row r="1" spans="1:18" ht="24.95" customHeight="1" thickBot="1">
      <c r="A1" s="124" t="s">
        <v>387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6"/>
    </row>
    <row r="2" spans="1:18" ht="24.95" customHeight="1" thickBot="1">
      <c r="A2" s="124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6"/>
    </row>
    <row r="3" spans="1:18" ht="24.95" customHeight="1">
      <c r="A3" s="2"/>
      <c r="B3" s="3" t="s">
        <v>1</v>
      </c>
      <c r="C3" s="4" t="s">
        <v>2</v>
      </c>
      <c r="D3" s="4" t="s">
        <v>3</v>
      </c>
      <c r="E3" s="3" t="s">
        <v>4</v>
      </c>
      <c r="F3" s="3" t="s">
        <v>5</v>
      </c>
      <c r="G3" s="5" t="s">
        <v>6</v>
      </c>
      <c r="H3" s="3"/>
      <c r="I3" s="3" t="s">
        <v>7</v>
      </c>
      <c r="J3" s="6" t="s">
        <v>8</v>
      </c>
      <c r="K3" s="7"/>
      <c r="L3" s="3" t="s">
        <v>9</v>
      </c>
      <c r="M3" s="3" t="s">
        <v>10</v>
      </c>
      <c r="N3" s="3" t="s">
        <v>11</v>
      </c>
      <c r="O3" s="8" t="s">
        <v>12</v>
      </c>
      <c r="P3" s="9"/>
    </row>
    <row r="4" spans="1:18" ht="24.95" customHeight="1">
      <c r="A4" s="10" t="s">
        <v>13</v>
      </c>
      <c r="B4" s="3" t="s">
        <v>14</v>
      </c>
      <c r="C4" s="4" t="s">
        <v>15</v>
      </c>
      <c r="D4" s="4" t="s">
        <v>3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6" t="s">
        <v>21</v>
      </c>
      <c r="K4" s="7" t="s">
        <v>22</v>
      </c>
      <c r="L4" s="3" t="s">
        <v>23</v>
      </c>
      <c r="M4" s="3" t="s">
        <v>24</v>
      </c>
      <c r="N4" s="3" t="s">
        <v>25</v>
      </c>
      <c r="O4" s="8" t="s">
        <v>26</v>
      </c>
      <c r="P4" s="11" t="s">
        <v>27</v>
      </c>
    </row>
    <row r="5" spans="1:18" s="19" customFormat="1" ht="24.95" customHeight="1">
      <c r="A5" s="129" t="s">
        <v>107</v>
      </c>
      <c r="B5" s="12" t="s">
        <v>28</v>
      </c>
      <c r="C5" s="13">
        <v>45961</v>
      </c>
      <c r="D5" s="13">
        <v>45961</v>
      </c>
      <c r="E5" s="12" t="s">
        <v>29</v>
      </c>
      <c r="F5" s="14" t="s">
        <v>30</v>
      </c>
      <c r="G5" s="12" t="s">
        <v>39</v>
      </c>
      <c r="H5" s="20" t="s">
        <v>40</v>
      </c>
      <c r="I5" s="12" t="s">
        <v>35</v>
      </c>
      <c r="J5" s="15">
        <v>70</v>
      </c>
      <c r="K5" s="12" t="s">
        <v>41</v>
      </c>
      <c r="L5" s="12" t="s">
        <v>42</v>
      </c>
      <c r="M5" s="16" t="s">
        <v>43</v>
      </c>
      <c r="N5" s="16" t="s">
        <v>44</v>
      </c>
      <c r="O5" s="13">
        <v>45961</v>
      </c>
      <c r="P5" s="17">
        <v>45835</v>
      </c>
      <c r="Q5" s="18">
        <v>70</v>
      </c>
    </row>
    <row r="6" spans="1:18" s="19" customFormat="1" ht="24.95" customHeight="1">
      <c r="A6" s="130"/>
      <c r="B6" s="12" t="s">
        <v>28</v>
      </c>
      <c r="C6" s="13">
        <v>45961</v>
      </c>
      <c r="D6" s="13">
        <v>45961</v>
      </c>
      <c r="E6" s="12" t="s">
        <v>29</v>
      </c>
      <c r="F6" s="14" t="s">
        <v>30</v>
      </c>
      <c r="G6" s="12" t="s">
        <v>45</v>
      </c>
      <c r="H6" s="20" t="s">
        <v>46</v>
      </c>
      <c r="I6" s="12" t="s">
        <v>47</v>
      </c>
      <c r="J6" s="15">
        <v>29</v>
      </c>
      <c r="K6" s="12" t="s">
        <v>32</v>
      </c>
      <c r="L6" s="12" t="s">
        <v>48</v>
      </c>
      <c r="M6" s="16" t="s">
        <v>34</v>
      </c>
      <c r="N6" s="16" t="s">
        <v>49</v>
      </c>
      <c r="O6" s="13">
        <v>45991</v>
      </c>
      <c r="P6" s="17">
        <v>45849</v>
      </c>
      <c r="Q6" s="18">
        <v>29</v>
      </c>
    </row>
    <row r="7" spans="1:18" s="19" customFormat="1" ht="24.95" customHeight="1">
      <c r="A7" s="130"/>
      <c r="B7" s="12" t="s">
        <v>28</v>
      </c>
      <c r="C7" s="13">
        <v>45953</v>
      </c>
      <c r="D7" s="13">
        <v>45953</v>
      </c>
      <c r="E7" s="12" t="s">
        <v>29</v>
      </c>
      <c r="F7" s="14" t="s">
        <v>30</v>
      </c>
      <c r="G7" s="12" t="s">
        <v>51</v>
      </c>
      <c r="H7" s="20" t="s">
        <v>52</v>
      </c>
      <c r="I7" s="12" t="s">
        <v>53</v>
      </c>
      <c r="J7" s="15">
        <v>593</v>
      </c>
      <c r="K7" s="12" t="s">
        <v>32</v>
      </c>
      <c r="L7" s="12" t="s">
        <v>42</v>
      </c>
      <c r="M7" s="16" t="s">
        <v>34</v>
      </c>
      <c r="N7" s="16" t="s">
        <v>54</v>
      </c>
      <c r="O7" s="13">
        <v>46022</v>
      </c>
      <c r="P7" s="17">
        <v>45821</v>
      </c>
      <c r="Q7" s="18">
        <v>593</v>
      </c>
    </row>
    <row r="8" spans="1:18" s="19" customFormat="1" ht="24.95" customHeight="1">
      <c r="A8" s="130"/>
      <c r="B8" s="12" t="s">
        <v>28</v>
      </c>
      <c r="C8" s="13">
        <v>45968</v>
      </c>
      <c r="D8" s="13">
        <v>45968</v>
      </c>
      <c r="E8" s="12" t="s">
        <v>29</v>
      </c>
      <c r="F8" s="14" t="s">
        <v>30</v>
      </c>
      <c r="G8" s="12" t="s">
        <v>59</v>
      </c>
      <c r="H8" s="20" t="s">
        <v>60</v>
      </c>
      <c r="I8" s="12" t="s">
        <v>35</v>
      </c>
      <c r="J8" s="15">
        <v>579</v>
      </c>
      <c r="K8" s="12" t="s">
        <v>32</v>
      </c>
      <c r="L8" s="12" t="s">
        <v>42</v>
      </c>
      <c r="M8" s="16" t="s">
        <v>34</v>
      </c>
      <c r="N8" s="13"/>
      <c r="O8" s="13">
        <v>45968</v>
      </c>
      <c r="P8" s="17">
        <v>45835</v>
      </c>
      <c r="Q8" s="18">
        <v>579</v>
      </c>
    </row>
    <row r="9" spans="1:18" s="19" customFormat="1" ht="24.95" customHeight="1">
      <c r="A9" s="130"/>
      <c r="B9" s="12" t="s">
        <v>28</v>
      </c>
      <c r="C9" s="13">
        <v>45930</v>
      </c>
      <c r="D9" s="13">
        <v>45968</v>
      </c>
      <c r="E9" s="12" t="s">
        <v>29</v>
      </c>
      <c r="F9" s="14" t="s">
        <v>30</v>
      </c>
      <c r="G9" s="12" t="s">
        <v>61</v>
      </c>
      <c r="H9" s="20" t="s">
        <v>62</v>
      </c>
      <c r="I9" s="12" t="s">
        <v>35</v>
      </c>
      <c r="J9" s="15">
        <v>640</v>
      </c>
      <c r="K9" s="12" t="s">
        <v>32</v>
      </c>
      <c r="L9" s="12" t="s">
        <v>42</v>
      </c>
      <c r="M9" s="16" t="s">
        <v>34</v>
      </c>
      <c r="N9" s="16"/>
      <c r="O9" s="13">
        <v>45968</v>
      </c>
      <c r="P9" s="17">
        <v>45870</v>
      </c>
      <c r="Q9" s="18">
        <v>640</v>
      </c>
    </row>
    <row r="10" spans="1:18" s="19" customFormat="1" ht="24.95" customHeight="1">
      <c r="A10" s="130"/>
      <c r="B10" s="12" t="s">
        <v>28</v>
      </c>
      <c r="C10" s="13">
        <v>45930</v>
      </c>
      <c r="D10" s="13">
        <v>45968</v>
      </c>
      <c r="E10" s="12" t="s">
        <v>29</v>
      </c>
      <c r="F10" s="14" t="s">
        <v>30</v>
      </c>
      <c r="G10" s="12" t="s">
        <v>63</v>
      </c>
      <c r="H10" s="20" t="s">
        <v>64</v>
      </c>
      <c r="I10" s="12" t="s">
        <v>35</v>
      </c>
      <c r="J10" s="15">
        <v>300</v>
      </c>
      <c r="K10" s="12" t="s">
        <v>32</v>
      </c>
      <c r="L10" s="12" t="s">
        <v>42</v>
      </c>
      <c r="M10" s="16" t="s">
        <v>34</v>
      </c>
      <c r="N10" s="16"/>
      <c r="O10" s="13">
        <v>45968</v>
      </c>
      <c r="P10" s="17">
        <v>45870</v>
      </c>
      <c r="Q10" s="18">
        <v>300</v>
      </c>
    </row>
    <row r="11" spans="1:18" s="19" customFormat="1" ht="24.95" customHeight="1">
      <c r="A11" s="130"/>
      <c r="B11" s="12" t="s">
        <v>28</v>
      </c>
      <c r="C11" s="13">
        <v>45930</v>
      </c>
      <c r="D11" s="13">
        <v>45968</v>
      </c>
      <c r="E11" s="12" t="s">
        <v>29</v>
      </c>
      <c r="F11" s="14" t="s">
        <v>30</v>
      </c>
      <c r="G11" s="12" t="s">
        <v>65</v>
      </c>
      <c r="H11" s="20" t="s">
        <v>66</v>
      </c>
      <c r="I11" s="12" t="s">
        <v>35</v>
      </c>
      <c r="J11" s="15">
        <v>550</v>
      </c>
      <c r="K11" s="12" t="s">
        <v>32</v>
      </c>
      <c r="L11" s="12" t="s">
        <v>42</v>
      </c>
      <c r="M11" s="16" t="s">
        <v>34</v>
      </c>
      <c r="N11" s="13"/>
      <c r="O11" s="13">
        <v>45968</v>
      </c>
      <c r="P11" s="17">
        <v>45870</v>
      </c>
      <c r="Q11" s="18">
        <v>550</v>
      </c>
    </row>
    <row r="12" spans="1:18" s="19" customFormat="1" ht="24.95" customHeight="1">
      <c r="A12" s="130"/>
      <c r="B12" s="12" t="s">
        <v>28</v>
      </c>
      <c r="C12" s="13">
        <v>45930</v>
      </c>
      <c r="D12" s="13">
        <v>45968</v>
      </c>
      <c r="E12" s="12" t="s">
        <v>29</v>
      </c>
      <c r="F12" s="14" t="s">
        <v>30</v>
      </c>
      <c r="G12" s="12" t="s">
        <v>67</v>
      </c>
      <c r="H12" s="20" t="s">
        <v>68</v>
      </c>
      <c r="I12" s="12" t="s">
        <v>35</v>
      </c>
      <c r="J12" s="15">
        <v>480</v>
      </c>
      <c r="K12" s="12" t="s">
        <v>32</v>
      </c>
      <c r="L12" s="12" t="s">
        <v>42</v>
      </c>
      <c r="M12" s="16" t="s">
        <v>34</v>
      </c>
      <c r="N12" s="13"/>
      <c r="O12" s="13">
        <v>45968</v>
      </c>
      <c r="P12" s="17">
        <v>45870</v>
      </c>
      <c r="Q12" s="18">
        <v>480</v>
      </c>
      <c r="R12" s="19">
        <v>1660</v>
      </c>
    </row>
    <row r="13" spans="1:18" s="19" customFormat="1" ht="24.95" customHeight="1">
      <c r="A13" s="130"/>
      <c r="B13" s="12" t="s">
        <v>28</v>
      </c>
      <c r="C13" s="13">
        <v>45930</v>
      </c>
      <c r="D13" s="13">
        <v>45968</v>
      </c>
      <c r="E13" s="12" t="s">
        <v>29</v>
      </c>
      <c r="F13" s="14" t="s">
        <v>30</v>
      </c>
      <c r="G13" s="12" t="s">
        <v>69</v>
      </c>
      <c r="H13" s="20" t="s">
        <v>70</v>
      </c>
      <c r="I13" s="12" t="s">
        <v>35</v>
      </c>
      <c r="J13" s="15">
        <v>210</v>
      </c>
      <c r="K13" s="12" t="s">
        <v>32</v>
      </c>
      <c r="L13" s="12" t="s">
        <v>71</v>
      </c>
      <c r="M13" s="16" t="s">
        <v>34</v>
      </c>
      <c r="N13" s="13"/>
      <c r="O13" s="13">
        <v>45968</v>
      </c>
      <c r="P13" s="17">
        <v>45870</v>
      </c>
      <c r="Q13" s="18">
        <v>210</v>
      </c>
      <c r="R13" s="19">
        <v>20.723749999999999</v>
      </c>
    </row>
    <row r="14" spans="1:18" s="19" customFormat="1" ht="24.95" customHeight="1">
      <c r="A14" s="130"/>
      <c r="B14" s="12" t="s">
        <v>28</v>
      </c>
      <c r="C14" s="13">
        <v>45930</v>
      </c>
      <c r="D14" s="13">
        <v>45976</v>
      </c>
      <c r="E14" s="12" t="s">
        <v>29</v>
      </c>
      <c r="F14" s="14" t="s">
        <v>30</v>
      </c>
      <c r="G14" s="12" t="s">
        <v>72</v>
      </c>
      <c r="H14" s="20" t="s">
        <v>73</v>
      </c>
      <c r="I14" s="12" t="s">
        <v>74</v>
      </c>
      <c r="J14" s="15">
        <v>101</v>
      </c>
      <c r="K14" s="12" t="s">
        <v>32</v>
      </c>
      <c r="L14" s="12" t="s">
        <v>75</v>
      </c>
      <c r="M14" s="16" t="s">
        <v>34</v>
      </c>
      <c r="N14" s="13"/>
      <c r="O14" s="13">
        <v>45976</v>
      </c>
      <c r="P14" s="17">
        <v>45884</v>
      </c>
      <c r="Q14" s="18">
        <v>101</v>
      </c>
    </row>
    <row r="15" spans="1:18" s="19" customFormat="1" ht="24.95" customHeight="1">
      <c r="A15" s="130"/>
      <c r="B15" s="12" t="s">
        <v>28</v>
      </c>
      <c r="C15" s="13">
        <v>45930</v>
      </c>
      <c r="D15" s="13">
        <v>45976</v>
      </c>
      <c r="E15" s="12" t="s">
        <v>29</v>
      </c>
      <c r="F15" s="14" t="s">
        <v>30</v>
      </c>
      <c r="G15" s="12" t="s">
        <v>76</v>
      </c>
      <c r="H15" s="20" t="s">
        <v>77</v>
      </c>
      <c r="I15" s="12" t="s">
        <v>74</v>
      </c>
      <c r="J15" s="15">
        <v>113</v>
      </c>
      <c r="K15" s="12" t="s">
        <v>32</v>
      </c>
      <c r="L15" s="12" t="s">
        <v>57</v>
      </c>
      <c r="M15" s="16" t="s">
        <v>34</v>
      </c>
      <c r="N15" s="13"/>
      <c r="O15" s="13">
        <v>45976</v>
      </c>
      <c r="P15" s="17">
        <v>45884</v>
      </c>
      <c r="Q15" s="18">
        <v>113</v>
      </c>
    </row>
    <row r="16" spans="1:18" s="19" customFormat="1" ht="24.95" customHeight="1">
      <c r="A16" s="130"/>
      <c r="B16" s="33" t="s">
        <v>28</v>
      </c>
      <c r="C16" s="34">
        <v>45976</v>
      </c>
      <c r="D16" s="34">
        <v>45976</v>
      </c>
      <c r="E16" s="33" t="s">
        <v>78</v>
      </c>
      <c r="F16" s="35" t="s">
        <v>30</v>
      </c>
      <c r="G16" s="33" t="s">
        <v>79</v>
      </c>
      <c r="H16" s="33" t="s">
        <v>80</v>
      </c>
      <c r="I16" s="33" t="s">
        <v>81</v>
      </c>
      <c r="J16" s="15">
        <v>144</v>
      </c>
      <c r="K16" s="33" t="s">
        <v>32</v>
      </c>
      <c r="L16" s="33" t="s">
        <v>50</v>
      </c>
      <c r="M16" s="33" t="s">
        <v>34</v>
      </c>
      <c r="N16" s="34" t="s">
        <v>217</v>
      </c>
      <c r="O16" s="34">
        <v>45976</v>
      </c>
      <c r="P16" s="36">
        <v>45835</v>
      </c>
      <c r="Q16" s="18">
        <v>144</v>
      </c>
    </row>
    <row r="17" spans="1:18" s="19" customFormat="1" ht="24.95" customHeight="1">
      <c r="A17" s="130"/>
      <c r="B17" s="33" t="s">
        <v>28</v>
      </c>
      <c r="C17" s="34">
        <v>45976</v>
      </c>
      <c r="D17" s="34">
        <v>45976</v>
      </c>
      <c r="E17" s="33" t="s">
        <v>78</v>
      </c>
      <c r="F17" s="35" t="s">
        <v>30</v>
      </c>
      <c r="G17" s="33" t="s">
        <v>82</v>
      </c>
      <c r="H17" s="33" t="s">
        <v>83</v>
      </c>
      <c r="I17" s="33" t="s">
        <v>81</v>
      </c>
      <c r="J17" s="15">
        <v>200</v>
      </c>
      <c r="K17" s="33" t="s">
        <v>32</v>
      </c>
      <c r="L17" s="33" t="s">
        <v>84</v>
      </c>
      <c r="M17" s="33" t="s">
        <v>34</v>
      </c>
      <c r="N17" s="34" t="s">
        <v>218</v>
      </c>
      <c r="O17" s="34">
        <v>45976</v>
      </c>
      <c r="P17" s="36">
        <v>45835</v>
      </c>
      <c r="Q17" s="18">
        <v>200</v>
      </c>
    </row>
    <row r="18" spans="1:18" s="19" customFormat="1" ht="24.95" customHeight="1">
      <c r="A18" s="130"/>
      <c r="B18" s="33" t="s">
        <v>28</v>
      </c>
      <c r="C18" s="34">
        <v>45976</v>
      </c>
      <c r="D18" s="34">
        <v>45976</v>
      </c>
      <c r="E18" s="33" t="s">
        <v>78</v>
      </c>
      <c r="F18" s="35" t="s">
        <v>30</v>
      </c>
      <c r="G18" s="33" t="s">
        <v>85</v>
      </c>
      <c r="H18" s="33" t="s">
        <v>86</v>
      </c>
      <c r="I18" s="33" t="s">
        <v>81</v>
      </c>
      <c r="J18" s="15">
        <v>86</v>
      </c>
      <c r="K18" s="33" t="s">
        <v>32</v>
      </c>
      <c r="L18" s="33" t="s">
        <v>71</v>
      </c>
      <c r="M18" s="33" t="s">
        <v>34</v>
      </c>
      <c r="N18" s="34" t="s">
        <v>219</v>
      </c>
      <c r="O18" s="34">
        <v>45976</v>
      </c>
      <c r="P18" s="36">
        <v>45870</v>
      </c>
      <c r="Q18" s="18">
        <v>86</v>
      </c>
    </row>
    <row r="19" spans="1:18" s="19" customFormat="1" ht="24.95" customHeight="1">
      <c r="A19" s="130"/>
      <c r="B19" s="12" t="s">
        <v>28</v>
      </c>
      <c r="C19" s="13">
        <v>45976</v>
      </c>
      <c r="D19" s="13">
        <v>45976</v>
      </c>
      <c r="E19" s="12" t="s">
        <v>29</v>
      </c>
      <c r="F19" s="14" t="s">
        <v>30</v>
      </c>
      <c r="G19" s="12" t="s">
        <v>87</v>
      </c>
      <c r="H19" s="20" t="s">
        <v>88</v>
      </c>
      <c r="I19" s="12" t="s">
        <v>31</v>
      </c>
      <c r="J19" s="15">
        <v>52</v>
      </c>
      <c r="K19" s="12" t="s">
        <v>32</v>
      </c>
      <c r="L19" s="12" t="s">
        <v>89</v>
      </c>
      <c r="M19" s="16" t="s">
        <v>34</v>
      </c>
      <c r="N19" s="13" t="s">
        <v>220</v>
      </c>
      <c r="O19" s="13">
        <v>45976</v>
      </c>
      <c r="P19" s="17">
        <v>45835</v>
      </c>
      <c r="Q19" s="18">
        <v>52</v>
      </c>
    </row>
    <row r="20" spans="1:18" s="19" customFormat="1" ht="24.95" customHeight="1">
      <c r="A20" s="130"/>
      <c r="B20" s="12" t="s">
        <v>28</v>
      </c>
      <c r="C20" s="13">
        <v>45976</v>
      </c>
      <c r="D20" s="13">
        <v>45976</v>
      </c>
      <c r="E20" s="12" t="s">
        <v>29</v>
      </c>
      <c r="F20" s="14" t="s">
        <v>30</v>
      </c>
      <c r="G20" s="12" t="s">
        <v>90</v>
      </c>
      <c r="H20" s="20" t="s">
        <v>91</v>
      </c>
      <c r="I20" s="12" t="s">
        <v>31</v>
      </c>
      <c r="J20" s="15">
        <v>50</v>
      </c>
      <c r="K20" s="12" t="s">
        <v>32</v>
      </c>
      <c r="L20" s="12" t="s">
        <v>75</v>
      </c>
      <c r="M20" s="16" t="s">
        <v>34</v>
      </c>
      <c r="N20" s="13" t="s">
        <v>221</v>
      </c>
      <c r="O20" s="13">
        <v>45976</v>
      </c>
      <c r="P20" s="17">
        <v>45870</v>
      </c>
      <c r="Q20" s="18">
        <v>50</v>
      </c>
    </row>
    <row r="21" spans="1:18" s="19" customFormat="1" ht="24.95" customHeight="1">
      <c r="A21" s="130"/>
      <c r="B21" s="12" t="s">
        <v>28</v>
      </c>
      <c r="C21" s="13">
        <v>45976</v>
      </c>
      <c r="D21" s="13">
        <v>45976</v>
      </c>
      <c r="E21" s="12" t="s">
        <v>29</v>
      </c>
      <c r="F21" s="14" t="s">
        <v>30</v>
      </c>
      <c r="G21" s="12" t="s">
        <v>92</v>
      </c>
      <c r="H21" s="20" t="s">
        <v>93</v>
      </c>
      <c r="I21" s="12" t="s">
        <v>31</v>
      </c>
      <c r="J21" s="15">
        <v>602</v>
      </c>
      <c r="K21" s="12" t="s">
        <v>32</v>
      </c>
      <c r="L21" s="12" t="s">
        <v>89</v>
      </c>
      <c r="M21" s="16" t="s">
        <v>34</v>
      </c>
      <c r="N21" s="13" t="s">
        <v>222</v>
      </c>
      <c r="O21" s="13">
        <v>45976</v>
      </c>
      <c r="P21" s="17">
        <v>45870</v>
      </c>
      <c r="Q21" s="18">
        <v>602</v>
      </c>
    </row>
    <row r="22" spans="1:18" s="19" customFormat="1" ht="24.95" customHeight="1">
      <c r="A22" s="130"/>
      <c r="B22" s="12" t="s">
        <v>28</v>
      </c>
      <c r="C22" s="13">
        <v>45976</v>
      </c>
      <c r="D22" s="13">
        <v>45976</v>
      </c>
      <c r="E22" s="12" t="s">
        <v>29</v>
      </c>
      <c r="F22" s="14" t="s">
        <v>30</v>
      </c>
      <c r="G22" s="12" t="s">
        <v>94</v>
      </c>
      <c r="H22" s="20" t="s">
        <v>95</v>
      </c>
      <c r="I22" s="12" t="s">
        <v>31</v>
      </c>
      <c r="J22" s="15">
        <v>50</v>
      </c>
      <c r="K22" s="12" t="s">
        <v>32</v>
      </c>
      <c r="L22" s="12" t="s">
        <v>48</v>
      </c>
      <c r="M22" s="16" t="s">
        <v>34</v>
      </c>
      <c r="N22" s="13" t="s">
        <v>223</v>
      </c>
      <c r="O22" s="13">
        <v>46022</v>
      </c>
      <c r="P22" s="17">
        <v>45850</v>
      </c>
      <c r="Q22" s="18">
        <v>50</v>
      </c>
    </row>
    <row r="23" spans="1:18" s="19" customFormat="1" ht="24.95" customHeight="1">
      <c r="A23" s="130"/>
      <c r="B23" s="12" t="s">
        <v>28</v>
      </c>
      <c r="C23" s="13">
        <v>45976</v>
      </c>
      <c r="D23" s="13">
        <v>45976</v>
      </c>
      <c r="E23" s="12" t="s">
        <v>29</v>
      </c>
      <c r="F23" s="14" t="s">
        <v>30</v>
      </c>
      <c r="G23" s="12" t="s">
        <v>96</v>
      </c>
      <c r="H23" s="20" t="s">
        <v>97</v>
      </c>
      <c r="I23" s="12" t="s">
        <v>31</v>
      </c>
      <c r="J23" s="15">
        <v>60</v>
      </c>
      <c r="K23" s="12" t="s">
        <v>32</v>
      </c>
      <c r="L23" s="12" t="s">
        <v>84</v>
      </c>
      <c r="M23" s="16" t="s">
        <v>34</v>
      </c>
      <c r="N23" s="13" t="s">
        <v>224</v>
      </c>
      <c r="O23" s="13">
        <v>46022</v>
      </c>
      <c r="P23" s="17">
        <v>45850</v>
      </c>
      <c r="Q23" s="18">
        <v>60</v>
      </c>
    </row>
    <row r="24" spans="1:18" s="19" customFormat="1" ht="24.95" customHeight="1">
      <c r="A24" s="130"/>
      <c r="B24" s="33" t="s">
        <v>28</v>
      </c>
      <c r="C24" s="34">
        <v>45976</v>
      </c>
      <c r="D24" s="34">
        <v>45976</v>
      </c>
      <c r="E24" s="33" t="s">
        <v>98</v>
      </c>
      <c r="F24" s="35" t="s">
        <v>30</v>
      </c>
      <c r="G24" s="33" t="s">
        <v>99</v>
      </c>
      <c r="H24" s="33" t="s">
        <v>100</v>
      </c>
      <c r="I24" s="33" t="s">
        <v>101</v>
      </c>
      <c r="J24" s="15">
        <v>226</v>
      </c>
      <c r="K24" s="33" t="s">
        <v>102</v>
      </c>
      <c r="L24" s="33" t="s">
        <v>103</v>
      </c>
      <c r="M24" s="33" t="s">
        <v>34</v>
      </c>
      <c r="N24" s="34" t="s">
        <v>225</v>
      </c>
      <c r="O24" s="34">
        <v>46006</v>
      </c>
      <c r="P24" s="36">
        <v>45836</v>
      </c>
      <c r="Q24" s="18">
        <v>226</v>
      </c>
    </row>
    <row r="25" spans="1:18" s="19" customFormat="1" ht="24.95" customHeight="1">
      <c r="A25" s="130"/>
      <c r="B25" s="12" t="s">
        <v>28</v>
      </c>
      <c r="C25" s="13">
        <v>45976</v>
      </c>
      <c r="D25" s="13">
        <v>45976</v>
      </c>
      <c r="E25" s="12" t="s">
        <v>29</v>
      </c>
      <c r="F25" s="14" t="s">
        <v>30</v>
      </c>
      <c r="G25" s="12" t="s">
        <v>104</v>
      </c>
      <c r="H25" s="20" t="s">
        <v>105</v>
      </c>
      <c r="I25" s="12" t="s">
        <v>47</v>
      </c>
      <c r="J25" s="15">
        <v>300</v>
      </c>
      <c r="K25" s="12" t="s">
        <v>32</v>
      </c>
      <c r="L25" s="12" t="s">
        <v>84</v>
      </c>
      <c r="M25" s="16" t="s">
        <v>34</v>
      </c>
      <c r="N25" s="13" t="s">
        <v>226</v>
      </c>
      <c r="O25" s="13">
        <v>46022</v>
      </c>
      <c r="P25" s="17">
        <v>45849</v>
      </c>
      <c r="Q25" s="18">
        <v>300</v>
      </c>
    </row>
    <row r="26" spans="1:18" s="19" customFormat="1" ht="24.95" customHeight="1">
      <c r="A26" s="130"/>
      <c r="B26" s="38" t="s">
        <v>28</v>
      </c>
      <c r="C26" s="39">
        <v>45930</v>
      </c>
      <c r="D26" s="39">
        <v>45976</v>
      </c>
      <c r="E26" s="38" t="s">
        <v>78</v>
      </c>
      <c r="F26" s="40" t="s">
        <v>30</v>
      </c>
      <c r="G26" s="38" t="s">
        <v>108</v>
      </c>
      <c r="H26" s="38" t="s">
        <v>109</v>
      </c>
      <c r="I26" s="38" t="s">
        <v>110</v>
      </c>
      <c r="J26" s="41">
        <v>52</v>
      </c>
      <c r="K26" s="38" t="s">
        <v>32</v>
      </c>
      <c r="L26" s="38" t="s">
        <v>36</v>
      </c>
      <c r="M26" s="33" t="s">
        <v>34</v>
      </c>
      <c r="N26" s="42" t="s">
        <v>227</v>
      </c>
      <c r="O26" s="39">
        <v>46022</v>
      </c>
      <c r="P26" s="43">
        <v>45807</v>
      </c>
      <c r="Q26" s="18">
        <v>52</v>
      </c>
    </row>
    <row r="27" spans="1:18" s="19" customFormat="1" ht="24.95" customHeight="1">
      <c r="A27" s="130"/>
      <c r="B27" s="12" t="s">
        <v>28</v>
      </c>
      <c r="C27" s="13">
        <v>45976</v>
      </c>
      <c r="D27" s="13">
        <v>45976</v>
      </c>
      <c r="E27" s="12" t="s">
        <v>29</v>
      </c>
      <c r="F27" s="14" t="s">
        <v>30</v>
      </c>
      <c r="G27" s="12" t="s">
        <v>111</v>
      </c>
      <c r="H27" s="20" t="s">
        <v>112</v>
      </c>
      <c r="I27" s="12" t="s">
        <v>35</v>
      </c>
      <c r="J27" s="15">
        <v>203</v>
      </c>
      <c r="K27" s="12" t="s">
        <v>32</v>
      </c>
      <c r="L27" s="12" t="s">
        <v>48</v>
      </c>
      <c r="M27" s="33" t="s">
        <v>34</v>
      </c>
      <c r="N27" s="13"/>
      <c r="O27" s="13">
        <v>46022</v>
      </c>
      <c r="P27" s="17">
        <v>45850</v>
      </c>
      <c r="Q27" s="18">
        <v>406</v>
      </c>
    </row>
    <row r="28" spans="1:18" s="19" customFormat="1" ht="24.95" customHeight="1">
      <c r="A28" s="130"/>
      <c r="B28" s="12" t="s">
        <v>28</v>
      </c>
      <c r="C28" s="13">
        <v>45976</v>
      </c>
      <c r="D28" s="13">
        <v>45976</v>
      </c>
      <c r="E28" s="12" t="s">
        <v>29</v>
      </c>
      <c r="F28" s="14" t="s">
        <v>30</v>
      </c>
      <c r="G28" s="12" t="s">
        <v>113</v>
      </c>
      <c r="H28" s="20" t="s">
        <v>114</v>
      </c>
      <c r="I28" s="12" t="s">
        <v>35</v>
      </c>
      <c r="J28" s="15">
        <v>145</v>
      </c>
      <c r="K28" s="12" t="s">
        <v>32</v>
      </c>
      <c r="L28" s="12" t="s">
        <v>84</v>
      </c>
      <c r="M28" s="33" t="s">
        <v>34</v>
      </c>
      <c r="N28" s="13"/>
      <c r="O28" s="13">
        <v>46022</v>
      </c>
      <c r="P28" s="17">
        <v>45850</v>
      </c>
      <c r="Q28" s="18">
        <v>290</v>
      </c>
    </row>
    <row r="29" spans="1:18" s="19" customFormat="1" ht="24.95" customHeight="1">
      <c r="A29" s="130"/>
      <c r="B29" s="33" t="s">
        <v>28</v>
      </c>
      <c r="C29" s="34">
        <v>45976</v>
      </c>
      <c r="D29" s="34">
        <v>45976</v>
      </c>
      <c r="E29" s="33" t="s">
        <v>78</v>
      </c>
      <c r="F29" s="35" t="s">
        <v>30</v>
      </c>
      <c r="G29" s="33" t="s">
        <v>115</v>
      </c>
      <c r="H29" s="33" t="s">
        <v>116</v>
      </c>
      <c r="I29" s="33" t="s">
        <v>117</v>
      </c>
      <c r="J29" s="15">
        <v>114</v>
      </c>
      <c r="K29" s="33" t="s">
        <v>32</v>
      </c>
      <c r="L29" s="33" t="s">
        <v>50</v>
      </c>
      <c r="M29" s="33" t="s">
        <v>34</v>
      </c>
      <c r="N29" s="34" t="s">
        <v>228</v>
      </c>
      <c r="O29" s="34">
        <v>45976</v>
      </c>
      <c r="P29" s="36">
        <v>45835</v>
      </c>
      <c r="Q29" s="18">
        <v>114</v>
      </c>
    </row>
    <row r="30" spans="1:18" s="19" customFormat="1" ht="24.95" customHeight="1">
      <c r="A30" s="130"/>
      <c r="B30" s="20" t="s">
        <v>28</v>
      </c>
      <c r="C30" s="21">
        <v>45976</v>
      </c>
      <c r="D30" s="21">
        <v>45976</v>
      </c>
      <c r="E30" s="20" t="s">
        <v>78</v>
      </c>
      <c r="F30" s="22" t="s">
        <v>30</v>
      </c>
      <c r="G30" s="20" t="s">
        <v>118</v>
      </c>
      <c r="H30" s="20" t="s">
        <v>119</v>
      </c>
      <c r="I30" s="20" t="s">
        <v>117</v>
      </c>
      <c r="J30" s="15">
        <v>302</v>
      </c>
      <c r="K30" s="20" t="s">
        <v>32</v>
      </c>
      <c r="L30" s="20" t="s">
        <v>84</v>
      </c>
      <c r="M30" s="33" t="s">
        <v>34</v>
      </c>
      <c r="N30" s="21" t="s">
        <v>229</v>
      </c>
      <c r="O30" s="21">
        <v>45976</v>
      </c>
      <c r="P30" s="44">
        <v>45835</v>
      </c>
      <c r="Q30" s="18">
        <v>302</v>
      </c>
    </row>
    <row r="31" spans="1:18" s="19" customFormat="1" ht="24.95" customHeight="1" thickBot="1">
      <c r="A31" s="131"/>
      <c r="B31" s="20" t="s">
        <v>28</v>
      </c>
      <c r="C31" s="21">
        <v>45976</v>
      </c>
      <c r="D31" s="21">
        <v>45976</v>
      </c>
      <c r="E31" s="20" t="s">
        <v>78</v>
      </c>
      <c r="F31" s="22" t="s">
        <v>30</v>
      </c>
      <c r="G31" s="20" t="s">
        <v>120</v>
      </c>
      <c r="H31" s="20" t="s">
        <v>121</v>
      </c>
      <c r="I31" s="20" t="s">
        <v>117</v>
      </c>
      <c r="J31" s="15">
        <v>36</v>
      </c>
      <c r="K31" s="20" t="s">
        <v>32</v>
      </c>
      <c r="L31" s="20" t="s">
        <v>122</v>
      </c>
      <c r="M31" s="33" t="s">
        <v>34</v>
      </c>
      <c r="N31" s="21" t="s">
        <v>230</v>
      </c>
      <c r="O31" s="21">
        <v>45976</v>
      </c>
      <c r="P31" s="44">
        <v>45870</v>
      </c>
      <c r="Q31" s="18">
        <v>36</v>
      </c>
    </row>
    <row r="32" spans="1:18" ht="24.95" customHeight="1" thickBot="1">
      <c r="A32" s="24"/>
      <c r="B32" s="25"/>
      <c r="C32" s="26"/>
      <c r="D32" s="26"/>
      <c r="E32" s="25"/>
      <c r="F32" s="27"/>
      <c r="G32" s="25"/>
      <c r="H32" s="28"/>
      <c r="I32" s="25"/>
      <c r="J32" s="29">
        <v>6287</v>
      </c>
      <c r="K32" s="37"/>
      <c r="L32" s="25"/>
      <c r="M32" s="30"/>
      <c r="N32" s="31"/>
      <c r="O32" s="26"/>
      <c r="P32" s="32"/>
      <c r="Q32" s="18">
        <v>0</v>
      </c>
      <c r="R32" s="19"/>
    </row>
    <row r="33" spans="1:18" ht="24.95" customHeight="1">
      <c r="A33" s="2" t="s">
        <v>13</v>
      </c>
      <c r="B33" s="3" t="s">
        <v>14</v>
      </c>
      <c r="C33" s="4" t="s">
        <v>15</v>
      </c>
      <c r="D33" s="4" t="s">
        <v>3</v>
      </c>
      <c r="E33" s="3" t="s">
        <v>16</v>
      </c>
      <c r="F33" s="3" t="s">
        <v>17</v>
      </c>
      <c r="G33" s="3" t="s">
        <v>18</v>
      </c>
      <c r="H33" s="3" t="s">
        <v>19</v>
      </c>
      <c r="I33" s="3" t="s">
        <v>20</v>
      </c>
      <c r="J33" s="6" t="s">
        <v>21</v>
      </c>
      <c r="K33" s="7" t="s">
        <v>22</v>
      </c>
      <c r="L33" s="3" t="s">
        <v>23</v>
      </c>
      <c r="M33" s="3" t="s">
        <v>24</v>
      </c>
      <c r="N33" s="3" t="s">
        <v>25</v>
      </c>
      <c r="O33" s="8" t="s">
        <v>26</v>
      </c>
      <c r="P33" s="9" t="s">
        <v>27</v>
      </c>
      <c r="Q33" s="18">
        <v>0</v>
      </c>
      <c r="R33" s="19"/>
    </row>
    <row r="34" spans="1:18" s="19" customFormat="1" ht="24.95" customHeight="1">
      <c r="A34" s="129" t="s">
        <v>136</v>
      </c>
      <c r="B34" s="20" t="s">
        <v>28</v>
      </c>
      <c r="C34" s="21">
        <v>45930</v>
      </c>
      <c r="D34" s="21">
        <v>45984</v>
      </c>
      <c r="E34" s="20" t="s">
        <v>78</v>
      </c>
      <c r="F34" s="22" t="s">
        <v>30</v>
      </c>
      <c r="G34" s="20" t="s">
        <v>123</v>
      </c>
      <c r="H34" s="20" t="s">
        <v>124</v>
      </c>
      <c r="I34" s="20" t="s">
        <v>117</v>
      </c>
      <c r="J34" s="15">
        <v>1860</v>
      </c>
      <c r="K34" s="20" t="s">
        <v>32</v>
      </c>
      <c r="L34" s="20" t="s">
        <v>122</v>
      </c>
      <c r="M34" s="33" t="s">
        <v>34</v>
      </c>
      <c r="N34" s="21"/>
      <c r="O34" s="21">
        <v>45984</v>
      </c>
      <c r="P34" s="44">
        <v>45870</v>
      </c>
      <c r="Q34" s="18">
        <v>1860</v>
      </c>
    </row>
    <row r="35" spans="1:18" s="19" customFormat="1" ht="24.95" customHeight="1">
      <c r="A35" s="130"/>
      <c r="B35" s="45" t="s">
        <v>28</v>
      </c>
      <c r="C35" s="23">
        <v>45937</v>
      </c>
      <c r="D35" s="23">
        <v>45937</v>
      </c>
      <c r="E35" s="45" t="s">
        <v>29</v>
      </c>
      <c r="F35" s="46" t="s">
        <v>30</v>
      </c>
      <c r="G35" s="45" t="s">
        <v>125</v>
      </c>
      <c r="H35" s="33" t="s">
        <v>126</v>
      </c>
      <c r="I35" s="45" t="s">
        <v>35</v>
      </c>
      <c r="J35" s="15">
        <v>2131</v>
      </c>
      <c r="K35" s="45" t="s">
        <v>32</v>
      </c>
      <c r="L35" s="45" t="s">
        <v>42</v>
      </c>
      <c r="M35" s="33" t="s">
        <v>34</v>
      </c>
      <c r="N35" s="23" t="s">
        <v>127</v>
      </c>
      <c r="O35" s="23">
        <v>45930</v>
      </c>
      <c r="P35" s="47">
        <v>45849</v>
      </c>
      <c r="Q35" s="18">
        <v>2131</v>
      </c>
    </row>
    <row r="36" spans="1:18" s="19" customFormat="1" ht="24.95" customHeight="1">
      <c r="A36" s="130"/>
      <c r="B36" s="12" t="s">
        <v>28</v>
      </c>
      <c r="C36" s="13">
        <v>45915</v>
      </c>
      <c r="D36" s="13">
        <v>45984</v>
      </c>
      <c r="E36" s="14" t="s">
        <v>29</v>
      </c>
      <c r="F36" s="14" t="s">
        <v>30</v>
      </c>
      <c r="G36" s="12" t="s">
        <v>128</v>
      </c>
      <c r="H36" s="20" t="s">
        <v>129</v>
      </c>
      <c r="I36" s="12" t="s">
        <v>130</v>
      </c>
      <c r="J36" s="15">
        <v>1939</v>
      </c>
      <c r="K36" s="12" t="s">
        <v>32</v>
      </c>
      <c r="L36" s="12" t="s">
        <v>42</v>
      </c>
      <c r="M36" s="33" t="s">
        <v>34</v>
      </c>
      <c r="N36" s="13"/>
      <c r="O36" s="13">
        <v>45984</v>
      </c>
      <c r="P36" s="17">
        <v>45870</v>
      </c>
      <c r="Q36" s="18">
        <v>1939</v>
      </c>
    </row>
    <row r="37" spans="1:18" s="19" customFormat="1" ht="24.95" customHeight="1">
      <c r="A37" s="130"/>
      <c r="B37" s="12" t="s">
        <v>28</v>
      </c>
      <c r="C37" s="13">
        <v>45984</v>
      </c>
      <c r="D37" s="13">
        <v>45984</v>
      </c>
      <c r="E37" s="12" t="s">
        <v>106</v>
      </c>
      <c r="F37" s="14" t="s">
        <v>30</v>
      </c>
      <c r="G37" s="12" t="s">
        <v>131</v>
      </c>
      <c r="H37" s="20" t="s">
        <v>132</v>
      </c>
      <c r="I37" s="12" t="s">
        <v>133</v>
      </c>
      <c r="J37" s="15">
        <v>317</v>
      </c>
      <c r="K37" s="12" t="s">
        <v>32</v>
      </c>
      <c r="L37" s="12" t="s">
        <v>42</v>
      </c>
      <c r="M37" s="33" t="s">
        <v>34</v>
      </c>
      <c r="N37" s="13"/>
      <c r="O37" s="13">
        <v>45984</v>
      </c>
      <c r="P37" s="17">
        <v>45835</v>
      </c>
      <c r="Q37" s="18">
        <v>317</v>
      </c>
    </row>
    <row r="38" spans="1:18" s="19" customFormat="1" ht="24.95" customHeight="1">
      <c r="A38" s="130"/>
      <c r="B38" s="48" t="s">
        <v>28</v>
      </c>
      <c r="C38" s="49">
        <v>45984</v>
      </c>
      <c r="D38" s="49">
        <v>45984</v>
      </c>
      <c r="E38" s="50" t="s">
        <v>106</v>
      </c>
      <c r="F38" s="51" t="s">
        <v>30</v>
      </c>
      <c r="G38" s="48" t="s">
        <v>134</v>
      </c>
      <c r="H38" s="48" t="s">
        <v>135</v>
      </c>
      <c r="I38" s="48" t="s">
        <v>53</v>
      </c>
      <c r="J38" s="52">
        <v>408</v>
      </c>
      <c r="K38" s="48" t="s">
        <v>32</v>
      </c>
      <c r="L38" s="48" t="s">
        <v>42</v>
      </c>
      <c r="M38" s="33" t="s">
        <v>34</v>
      </c>
      <c r="N38" s="49"/>
      <c r="O38" s="49">
        <v>45984</v>
      </c>
      <c r="P38" s="53">
        <v>45835</v>
      </c>
      <c r="Q38" s="18">
        <v>408</v>
      </c>
    </row>
    <row r="39" spans="1:18" s="19" customFormat="1" ht="24.95" customHeight="1">
      <c r="A39" s="130"/>
      <c r="B39" s="12" t="s">
        <v>28</v>
      </c>
      <c r="C39" s="13">
        <v>45991</v>
      </c>
      <c r="D39" s="13">
        <v>45991</v>
      </c>
      <c r="E39" s="12" t="s">
        <v>29</v>
      </c>
      <c r="F39" s="14" t="s">
        <v>30</v>
      </c>
      <c r="G39" s="12" t="s">
        <v>137</v>
      </c>
      <c r="H39" s="20" t="s">
        <v>138</v>
      </c>
      <c r="I39" s="12" t="s">
        <v>55</v>
      </c>
      <c r="J39" s="15">
        <v>316</v>
      </c>
      <c r="K39" s="12" t="s">
        <v>32</v>
      </c>
      <c r="L39" s="12" t="s">
        <v>50</v>
      </c>
      <c r="M39" s="33" t="s">
        <v>34</v>
      </c>
      <c r="N39" s="13"/>
      <c r="O39" s="13">
        <v>45991</v>
      </c>
      <c r="P39" s="17">
        <v>45870</v>
      </c>
      <c r="Q39" s="18">
        <v>316</v>
      </c>
    </row>
    <row r="40" spans="1:18" s="19" customFormat="1" ht="24.95" customHeight="1">
      <c r="A40" s="130"/>
      <c r="B40" s="12" t="s">
        <v>28</v>
      </c>
      <c r="C40" s="13">
        <v>45991</v>
      </c>
      <c r="D40" s="13">
        <v>45991</v>
      </c>
      <c r="E40" s="12" t="s">
        <v>29</v>
      </c>
      <c r="F40" s="14" t="s">
        <v>30</v>
      </c>
      <c r="G40" s="12" t="s">
        <v>139</v>
      </c>
      <c r="H40" s="20" t="s">
        <v>140</v>
      </c>
      <c r="I40" s="12" t="s">
        <v>55</v>
      </c>
      <c r="J40" s="15">
        <v>334</v>
      </c>
      <c r="K40" s="12" t="s">
        <v>32</v>
      </c>
      <c r="L40" s="12" t="s">
        <v>48</v>
      </c>
      <c r="M40" s="33" t="s">
        <v>34</v>
      </c>
      <c r="N40" s="13"/>
      <c r="O40" s="13">
        <v>45991</v>
      </c>
      <c r="P40" s="17">
        <v>45870</v>
      </c>
      <c r="Q40" s="18">
        <v>334</v>
      </c>
    </row>
    <row r="41" spans="1:18" s="19" customFormat="1" ht="24.95" customHeight="1">
      <c r="A41" s="130"/>
      <c r="B41" s="12" t="s">
        <v>28</v>
      </c>
      <c r="C41" s="13">
        <v>45991</v>
      </c>
      <c r="D41" s="13">
        <v>45991</v>
      </c>
      <c r="E41" s="12" t="s">
        <v>29</v>
      </c>
      <c r="F41" s="14" t="s">
        <v>30</v>
      </c>
      <c r="G41" s="12" t="s">
        <v>141</v>
      </c>
      <c r="H41" s="20" t="s">
        <v>142</v>
      </c>
      <c r="I41" s="12" t="s">
        <v>55</v>
      </c>
      <c r="J41" s="15">
        <v>160</v>
      </c>
      <c r="K41" s="12" t="s">
        <v>32</v>
      </c>
      <c r="L41" s="12" t="s">
        <v>84</v>
      </c>
      <c r="M41" s="33" t="s">
        <v>34</v>
      </c>
      <c r="N41" s="13"/>
      <c r="O41" s="13">
        <v>45991</v>
      </c>
      <c r="P41" s="17">
        <v>45870</v>
      </c>
      <c r="Q41" s="18">
        <v>160</v>
      </c>
    </row>
    <row r="42" spans="1:18" s="19" customFormat="1" ht="24.95" customHeight="1">
      <c r="A42" s="130"/>
      <c r="B42" s="20" t="s">
        <v>28</v>
      </c>
      <c r="C42" s="21">
        <v>45991</v>
      </c>
      <c r="D42" s="21">
        <v>45991</v>
      </c>
      <c r="E42" s="33" t="s">
        <v>106</v>
      </c>
      <c r="F42" s="22" t="s">
        <v>30</v>
      </c>
      <c r="G42" s="20" t="s">
        <v>143</v>
      </c>
      <c r="H42" s="20" t="s">
        <v>144</v>
      </c>
      <c r="I42" s="20" t="s">
        <v>53</v>
      </c>
      <c r="J42" s="15">
        <v>100</v>
      </c>
      <c r="K42" s="20" t="s">
        <v>32</v>
      </c>
      <c r="L42" s="20" t="s">
        <v>84</v>
      </c>
      <c r="M42" s="33" t="s">
        <v>34</v>
      </c>
      <c r="N42" s="21"/>
      <c r="O42" s="21">
        <v>46022</v>
      </c>
      <c r="P42" s="54">
        <v>45849</v>
      </c>
      <c r="Q42" s="18">
        <v>100</v>
      </c>
    </row>
    <row r="43" spans="1:18" s="19" customFormat="1" ht="24.95" customHeight="1">
      <c r="A43" s="130"/>
      <c r="B43" s="12" t="s">
        <v>28</v>
      </c>
      <c r="C43" s="13">
        <v>45991</v>
      </c>
      <c r="D43" s="13">
        <v>45991</v>
      </c>
      <c r="E43" s="12" t="s">
        <v>29</v>
      </c>
      <c r="F43" s="14" t="s">
        <v>30</v>
      </c>
      <c r="G43" s="12" t="s">
        <v>145</v>
      </c>
      <c r="H43" s="20" t="s">
        <v>146</v>
      </c>
      <c r="I43" s="12" t="s">
        <v>47</v>
      </c>
      <c r="J43" s="15">
        <v>242</v>
      </c>
      <c r="K43" s="12" t="s">
        <v>32</v>
      </c>
      <c r="L43" s="12" t="s">
        <v>33</v>
      </c>
      <c r="M43" s="33" t="s">
        <v>34</v>
      </c>
      <c r="N43" s="13"/>
      <c r="O43" s="13">
        <v>46022</v>
      </c>
      <c r="P43" s="17">
        <v>45849</v>
      </c>
      <c r="Q43" s="18">
        <v>242</v>
      </c>
    </row>
    <row r="44" spans="1:18" s="19" customFormat="1" ht="24.95" customHeight="1">
      <c r="A44" s="130"/>
      <c r="B44" s="12" t="s">
        <v>28</v>
      </c>
      <c r="C44" s="13">
        <v>45991</v>
      </c>
      <c r="D44" s="13">
        <v>45991</v>
      </c>
      <c r="E44" s="12" t="s">
        <v>29</v>
      </c>
      <c r="F44" s="14" t="s">
        <v>30</v>
      </c>
      <c r="G44" s="12" t="s">
        <v>147</v>
      </c>
      <c r="H44" s="20" t="s">
        <v>148</v>
      </c>
      <c r="I44" s="12" t="s">
        <v>31</v>
      </c>
      <c r="J44" s="15">
        <v>235</v>
      </c>
      <c r="K44" s="12" t="s">
        <v>32</v>
      </c>
      <c r="L44" s="12" t="s">
        <v>37</v>
      </c>
      <c r="M44" s="33" t="s">
        <v>34</v>
      </c>
      <c r="N44" s="13"/>
      <c r="O44" s="13">
        <v>46022</v>
      </c>
      <c r="P44" s="17">
        <v>45850</v>
      </c>
      <c r="Q44" s="18">
        <v>235</v>
      </c>
    </row>
    <row r="45" spans="1:18" s="19" customFormat="1" ht="24.95" customHeight="1" thickBot="1">
      <c r="A45" s="131"/>
      <c r="B45" s="12" t="s">
        <v>28</v>
      </c>
      <c r="C45" s="13">
        <v>45930</v>
      </c>
      <c r="D45" s="13">
        <v>45991</v>
      </c>
      <c r="E45" s="12" t="s">
        <v>29</v>
      </c>
      <c r="F45" s="14" t="s">
        <v>30</v>
      </c>
      <c r="G45" s="12" t="s">
        <v>149</v>
      </c>
      <c r="H45" s="20" t="s">
        <v>150</v>
      </c>
      <c r="I45" s="12" t="s">
        <v>31</v>
      </c>
      <c r="J45" s="15">
        <v>2956</v>
      </c>
      <c r="K45" s="12" t="s">
        <v>32</v>
      </c>
      <c r="L45" s="12" t="s">
        <v>33</v>
      </c>
      <c r="M45" s="33" t="s">
        <v>34</v>
      </c>
      <c r="N45" s="13"/>
      <c r="O45" s="13">
        <v>45991</v>
      </c>
      <c r="P45" s="17">
        <v>45870</v>
      </c>
      <c r="Q45" s="18">
        <v>2956</v>
      </c>
    </row>
    <row r="46" spans="1:18" ht="24.95" customHeight="1" thickBot="1">
      <c r="A46" s="24"/>
      <c r="B46" s="25"/>
      <c r="C46" s="26"/>
      <c r="D46" s="26"/>
      <c r="E46" s="25"/>
      <c r="F46" s="27"/>
      <c r="G46" s="25"/>
      <c r="H46" s="28"/>
      <c r="I46" s="25"/>
      <c r="J46" s="29">
        <v>10998</v>
      </c>
      <c r="K46" s="25"/>
      <c r="L46" s="25"/>
      <c r="M46" s="30"/>
      <c r="N46" s="31"/>
      <c r="O46" s="26"/>
      <c r="P46" s="32"/>
      <c r="Q46" s="18">
        <v>0</v>
      </c>
      <c r="R46" s="19"/>
    </row>
    <row r="47" spans="1:18" ht="24.95" customHeight="1">
      <c r="A47" s="2" t="s">
        <v>13</v>
      </c>
      <c r="B47" s="3" t="s">
        <v>14</v>
      </c>
      <c r="C47" s="4" t="s">
        <v>15</v>
      </c>
      <c r="D47" s="4" t="s">
        <v>3</v>
      </c>
      <c r="E47" s="3" t="s">
        <v>16</v>
      </c>
      <c r="F47" s="3" t="s">
        <v>17</v>
      </c>
      <c r="G47" s="3" t="s">
        <v>18</v>
      </c>
      <c r="H47" s="3" t="s">
        <v>19</v>
      </c>
      <c r="I47" s="3" t="s">
        <v>20</v>
      </c>
      <c r="J47" s="6" t="s">
        <v>21</v>
      </c>
      <c r="K47" s="7" t="s">
        <v>22</v>
      </c>
      <c r="L47" s="3" t="s">
        <v>23</v>
      </c>
      <c r="M47" s="3" t="s">
        <v>24</v>
      </c>
      <c r="N47" s="3" t="s">
        <v>25</v>
      </c>
      <c r="O47" s="8" t="s">
        <v>26</v>
      </c>
      <c r="P47" s="9" t="s">
        <v>27</v>
      </c>
      <c r="Q47" s="18">
        <v>0</v>
      </c>
      <c r="R47" s="19"/>
    </row>
    <row r="48" spans="1:18" s="19" customFormat="1" ht="24.95" customHeight="1">
      <c r="A48" s="132" t="s">
        <v>167</v>
      </c>
      <c r="B48" s="12" t="s">
        <v>28</v>
      </c>
      <c r="C48" s="13">
        <v>45930</v>
      </c>
      <c r="D48" s="13">
        <v>45991</v>
      </c>
      <c r="E48" s="12" t="s">
        <v>29</v>
      </c>
      <c r="F48" s="14" t="s">
        <v>30</v>
      </c>
      <c r="G48" s="12" t="s">
        <v>151</v>
      </c>
      <c r="H48" s="20" t="s">
        <v>152</v>
      </c>
      <c r="I48" s="12" t="s">
        <v>31</v>
      </c>
      <c r="J48" s="15">
        <v>175</v>
      </c>
      <c r="K48" s="12" t="s">
        <v>32</v>
      </c>
      <c r="L48" s="12" t="s">
        <v>84</v>
      </c>
      <c r="M48" s="33" t="s">
        <v>34</v>
      </c>
      <c r="N48" s="13"/>
      <c r="O48" s="13">
        <v>45991</v>
      </c>
      <c r="P48" s="17">
        <v>45870</v>
      </c>
      <c r="Q48" s="18">
        <v>175</v>
      </c>
    </row>
    <row r="49" spans="1:18" s="19" customFormat="1" ht="24.95" customHeight="1">
      <c r="A49" s="133"/>
      <c r="B49" s="12" t="s">
        <v>28</v>
      </c>
      <c r="C49" s="13">
        <v>45991</v>
      </c>
      <c r="D49" s="13">
        <v>45991</v>
      </c>
      <c r="E49" s="12" t="s">
        <v>29</v>
      </c>
      <c r="F49" s="14" t="s">
        <v>30</v>
      </c>
      <c r="G49" s="12" t="s">
        <v>153</v>
      </c>
      <c r="H49" s="20" t="s">
        <v>154</v>
      </c>
      <c r="I49" s="12" t="s">
        <v>31</v>
      </c>
      <c r="J49" s="15">
        <v>240</v>
      </c>
      <c r="K49" s="12" t="s">
        <v>32</v>
      </c>
      <c r="L49" s="12" t="s">
        <v>38</v>
      </c>
      <c r="M49" s="33" t="s">
        <v>34</v>
      </c>
      <c r="N49" s="13"/>
      <c r="O49" s="13">
        <v>46006</v>
      </c>
      <c r="P49" s="17">
        <v>45821</v>
      </c>
      <c r="Q49" s="18">
        <v>240</v>
      </c>
    </row>
    <row r="50" spans="1:18" s="19" customFormat="1" ht="24.95" customHeight="1">
      <c r="A50" s="133"/>
      <c r="B50" s="12" t="s">
        <v>28</v>
      </c>
      <c r="C50" s="13">
        <v>45991</v>
      </c>
      <c r="D50" s="13">
        <v>45991</v>
      </c>
      <c r="E50" s="12" t="s">
        <v>29</v>
      </c>
      <c r="F50" s="14" t="s">
        <v>30</v>
      </c>
      <c r="G50" s="12" t="s">
        <v>155</v>
      </c>
      <c r="H50" s="20" t="s">
        <v>156</v>
      </c>
      <c r="I50" s="12" t="s">
        <v>31</v>
      </c>
      <c r="J50" s="15">
        <v>148</v>
      </c>
      <c r="K50" s="12" t="s">
        <v>32</v>
      </c>
      <c r="L50" s="12" t="s">
        <v>38</v>
      </c>
      <c r="M50" s="33" t="s">
        <v>34</v>
      </c>
      <c r="N50" s="13"/>
      <c r="O50" s="13">
        <v>45991</v>
      </c>
      <c r="P50" s="17">
        <v>45835</v>
      </c>
      <c r="Q50" s="18">
        <v>148</v>
      </c>
    </row>
    <row r="51" spans="1:18" s="19" customFormat="1" ht="24.95" customHeight="1">
      <c r="A51" s="133"/>
      <c r="B51" s="12" t="s">
        <v>28</v>
      </c>
      <c r="C51" s="13">
        <v>45991</v>
      </c>
      <c r="D51" s="13">
        <v>45991</v>
      </c>
      <c r="E51" s="12" t="s">
        <v>29</v>
      </c>
      <c r="F51" s="14" t="s">
        <v>30</v>
      </c>
      <c r="G51" s="12" t="s">
        <v>157</v>
      </c>
      <c r="H51" s="20" t="s">
        <v>158</v>
      </c>
      <c r="I51" s="12" t="s">
        <v>31</v>
      </c>
      <c r="J51" s="15">
        <v>1101</v>
      </c>
      <c r="K51" s="12" t="s">
        <v>32</v>
      </c>
      <c r="L51" s="12" t="s">
        <v>89</v>
      </c>
      <c r="M51" s="33" t="s">
        <v>34</v>
      </c>
      <c r="N51" s="13"/>
      <c r="O51" s="13">
        <v>46022</v>
      </c>
      <c r="P51" s="17">
        <v>45850</v>
      </c>
      <c r="Q51" s="18">
        <v>1001</v>
      </c>
    </row>
    <row r="52" spans="1:18" s="19" customFormat="1" ht="24.95" customHeight="1">
      <c r="A52" s="133"/>
      <c r="B52" s="12" t="s">
        <v>28</v>
      </c>
      <c r="C52" s="13">
        <v>45991</v>
      </c>
      <c r="D52" s="13">
        <v>45991</v>
      </c>
      <c r="E52" s="12" t="s">
        <v>29</v>
      </c>
      <c r="F52" s="14" t="s">
        <v>30</v>
      </c>
      <c r="G52" s="12" t="s">
        <v>159</v>
      </c>
      <c r="H52" s="20" t="s">
        <v>160</v>
      </c>
      <c r="I52" s="12" t="s">
        <v>58</v>
      </c>
      <c r="J52" s="15">
        <v>192</v>
      </c>
      <c r="K52" s="12" t="s">
        <v>32</v>
      </c>
      <c r="L52" s="12" t="s">
        <v>84</v>
      </c>
      <c r="M52" s="33" t="s">
        <v>34</v>
      </c>
      <c r="N52" s="13"/>
      <c r="O52" s="13">
        <v>46022</v>
      </c>
      <c r="P52" s="17">
        <v>45849</v>
      </c>
      <c r="Q52" s="18">
        <v>192</v>
      </c>
    </row>
    <row r="53" spans="1:18" s="19" customFormat="1" ht="24.95" customHeight="1">
      <c r="A53" s="133"/>
      <c r="B53" s="12" t="s">
        <v>28</v>
      </c>
      <c r="C53" s="13">
        <v>45991</v>
      </c>
      <c r="D53" s="13">
        <v>45991</v>
      </c>
      <c r="E53" s="12" t="s">
        <v>29</v>
      </c>
      <c r="F53" s="14" t="s">
        <v>30</v>
      </c>
      <c r="G53" s="12" t="s">
        <v>161</v>
      </c>
      <c r="H53" s="20" t="s">
        <v>162</v>
      </c>
      <c r="I53" s="12" t="s">
        <v>58</v>
      </c>
      <c r="J53" s="15">
        <v>176</v>
      </c>
      <c r="K53" s="12" t="s">
        <v>32</v>
      </c>
      <c r="L53" s="12" t="s">
        <v>33</v>
      </c>
      <c r="M53" s="33" t="s">
        <v>34</v>
      </c>
      <c r="N53" s="13"/>
      <c r="O53" s="13">
        <v>46022</v>
      </c>
      <c r="P53" s="17">
        <v>45850</v>
      </c>
      <c r="Q53" s="18">
        <v>176</v>
      </c>
    </row>
    <row r="54" spans="1:18" s="19" customFormat="1" ht="24.95" customHeight="1">
      <c r="A54" s="133"/>
      <c r="B54" s="12" t="s">
        <v>28</v>
      </c>
      <c r="C54" s="13">
        <v>45915</v>
      </c>
      <c r="D54" s="13">
        <v>45991</v>
      </c>
      <c r="E54" s="12" t="s">
        <v>29</v>
      </c>
      <c r="F54" s="14" t="s">
        <v>30</v>
      </c>
      <c r="G54" s="12" t="s">
        <v>163</v>
      </c>
      <c r="H54" s="20" t="s">
        <v>164</v>
      </c>
      <c r="I54" s="12" t="s">
        <v>130</v>
      </c>
      <c r="J54" s="15">
        <v>1084</v>
      </c>
      <c r="K54" s="12" t="s">
        <v>32</v>
      </c>
      <c r="L54" s="12" t="s">
        <v>33</v>
      </c>
      <c r="M54" s="33" t="s">
        <v>34</v>
      </c>
      <c r="N54" s="13"/>
      <c r="O54" s="13">
        <v>45991</v>
      </c>
      <c r="P54" s="17">
        <v>45870</v>
      </c>
      <c r="Q54" s="18">
        <v>1084</v>
      </c>
    </row>
    <row r="55" spans="1:18" s="19" customFormat="1" ht="24.95" customHeight="1">
      <c r="A55" s="133"/>
      <c r="B55" s="12" t="s">
        <v>28</v>
      </c>
      <c r="C55" s="13">
        <v>45915</v>
      </c>
      <c r="D55" s="13">
        <v>45991</v>
      </c>
      <c r="E55" s="12" t="s">
        <v>29</v>
      </c>
      <c r="F55" s="14" t="s">
        <v>30</v>
      </c>
      <c r="G55" s="12" t="s">
        <v>165</v>
      </c>
      <c r="H55" s="20" t="s">
        <v>166</v>
      </c>
      <c r="I55" s="12" t="s">
        <v>130</v>
      </c>
      <c r="J55" s="15">
        <v>348</v>
      </c>
      <c r="K55" s="12" t="s">
        <v>32</v>
      </c>
      <c r="L55" s="12" t="s">
        <v>37</v>
      </c>
      <c r="M55" s="33" t="s">
        <v>34</v>
      </c>
      <c r="N55" s="13"/>
      <c r="O55" s="13">
        <v>45991</v>
      </c>
      <c r="P55" s="17">
        <v>45870</v>
      </c>
      <c r="Q55" s="18">
        <v>348</v>
      </c>
    </row>
    <row r="56" spans="1:18" s="19" customFormat="1" ht="24.95" customHeight="1">
      <c r="A56" s="133"/>
      <c r="B56" s="12" t="s">
        <v>28</v>
      </c>
      <c r="C56" s="13">
        <v>45915</v>
      </c>
      <c r="D56" s="13">
        <v>45998</v>
      </c>
      <c r="E56" s="12" t="s">
        <v>29</v>
      </c>
      <c r="F56" s="14" t="s">
        <v>30</v>
      </c>
      <c r="G56" s="16" t="s">
        <v>168</v>
      </c>
      <c r="H56" s="20" t="s">
        <v>169</v>
      </c>
      <c r="I56" s="12" t="s">
        <v>130</v>
      </c>
      <c r="J56" s="15">
        <v>2700</v>
      </c>
      <c r="K56" s="12" t="s">
        <v>41</v>
      </c>
      <c r="L56" s="12" t="s">
        <v>42</v>
      </c>
      <c r="M56" s="33" t="s">
        <v>34</v>
      </c>
      <c r="N56" s="13"/>
      <c r="O56" s="13">
        <v>45998</v>
      </c>
      <c r="P56" s="17">
        <v>45870</v>
      </c>
      <c r="Q56" s="18">
        <v>2700</v>
      </c>
    </row>
    <row r="57" spans="1:18" s="19" customFormat="1" ht="24.95" customHeight="1">
      <c r="A57" s="133"/>
      <c r="B57" s="12" t="s">
        <v>28</v>
      </c>
      <c r="C57" s="13">
        <v>45991</v>
      </c>
      <c r="D57" s="13">
        <v>45998</v>
      </c>
      <c r="E57" s="12" t="s">
        <v>29</v>
      </c>
      <c r="F57" s="14" t="s">
        <v>30</v>
      </c>
      <c r="G57" s="16" t="s">
        <v>170</v>
      </c>
      <c r="H57" s="20" t="s">
        <v>171</v>
      </c>
      <c r="I57" s="12" t="s">
        <v>130</v>
      </c>
      <c r="J57" s="15">
        <v>2700</v>
      </c>
      <c r="K57" s="12" t="s">
        <v>41</v>
      </c>
      <c r="L57" s="12" t="s">
        <v>42</v>
      </c>
      <c r="M57" s="33" t="s">
        <v>34</v>
      </c>
      <c r="N57" s="13"/>
      <c r="O57" s="13">
        <v>45998</v>
      </c>
      <c r="P57" s="17">
        <v>45870</v>
      </c>
      <c r="Q57" s="18">
        <v>2700</v>
      </c>
    </row>
    <row r="58" spans="1:18" ht="24.95" customHeight="1">
      <c r="A58" s="133"/>
      <c r="B58" s="12" t="s">
        <v>28</v>
      </c>
      <c r="C58" s="13">
        <v>46006</v>
      </c>
      <c r="D58" s="13">
        <v>46006</v>
      </c>
      <c r="E58" s="12" t="s">
        <v>178</v>
      </c>
      <c r="F58" s="14" t="s">
        <v>30</v>
      </c>
      <c r="G58" s="12" t="s">
        <v>179</v>
      </c>
      <c r="H58" s="20" t="s">
        <v>180</v>
      </c>
      <c r="I58" s="12" t="s">
        <v>110</v>
      </c>
      <c r="J58" s="15">
        <v>1280</v>
      </c>
      <c r="K58" s="12" t="s">
        <v>32</v>
      </c>
      <c r="L58" s="12" t="s">
        <v>36</v>
      </c>
      <c r="M58" s="33" t="s">
        <v>34</v>
      </c>
      <c r="N58" s="13"/>
      <c r="O58" s="13">
        <v>46006</v>
      </c>
      <c r="P58" s="17">
        <v>45807</v>
      </c>
      <c r="Q58" s="18">
        <v>1280</v>
      </c>
      <c r="R58" s="19"/>
    </row>
    <row r="59" spans="1:18" s="19" customFormat="1" ht="24.95" customHeight="1">
      <c r="A59" s="133"/>
      <c r="B59" s="55" t="s">
        <v>28</v>
      </c>
      <c r="C59" s="56">
        <v>46006</v>
      </c>
      <c r="D59" s="56">
        <v>46006</v>
      </c>
      <c r="E59" s="55" t="s">
        <v>29</v>
      </c>
      <c r="F59" s="57" t="s">
        <v>30</v>
      </c>
      <c r="G59" s="55" t="s">
        <v>173</v>
      </c>
      <c r="H59" s="48" t="s">
        <v>174</v>
      </c>
      <c r="I59" s="55" t="s">
        <v>35</v>
      </c>
      <c r="J59" s="52">
        <v>134</v>
      </c>
      <c r="K59" s="55" t="s">
        <v>32</v>
      </c>
      <c r="L59" s="55" t="s">
        <v>50</v>
      </c>
      <c r="M59" s="33" t="s">
        <v>34</v>
      </c>
      <c r="N59" s="56"/>
      <c r="O59" s="56">
        <v>46053</v>
      </c>
      <c r="P59" s="58">
        <v>45850</v>
      </c>
      <c r="Q59" s="18">
        <v>134</v>
      </c>
    </row>
    <row r="60" spans="1:18" s="19" customFormat="1" ht="24.95" customHeight="1" thickBot="1">
      <c r="A60" s="134"/>
      <c r="B60" s="12" t="s">
        <v>28</v>
      </c>
      <c r="C60" s="13">
        <v>45930</v>
      </c>
      <c r="D60" s="13">
        <v>46006</v>
      </c>
      <c r="E60" s="12" t="s">
        <v>29</v>
      </c>
      <c r="F60" s="14" t="s">
        <v>30</v>
      </c>
      <c r="G60" s="12" t="s">
        <v>175</v>
      </c>
      <c r="H60" s="20" t="s">
        <v>176</v>
      </c>
      <c r="I60" s="12" t="s">
        <v>74</v>
      </c>
      <c r="J60" s="15">
        <v>620</v>
      </c>
      <c r="K60" s="12" t="s">
        <v>32</v>
      </c>
      <c r="L60" s="12" t="s">
        <v>177</v>
      </c>
      <c r="M60" s="33" t="s">
        <v>34</v>
      </c>
      <c r="N60" s="13"/>
      <c r="O60" s="13">
        <v>46006</v>
      </c>
      <c r="P60" s="17">
        <v>45870</v>
      </c>
      <c r="Q60" s="18">
        <v>620</v>
      </c>
    </row>
    <row r="61" spans="1:18" ht="24.95" customHeight="1" thickBot="1">
      <c r="A61" s="24"/>
      <c r="B61" s="25"/>
      <c r="C61" s="26"/>
      <c r="D61" s="26"/>
      <c r="E61" s="25"/>
      <c r="F61" s="27"/>
      <c r="G61" s="25"/>
      <c r="H61" s="28"/>
      <c r="I61" s="25"/>
      <c r="J61" s="29">
        <v>10898</v>
      </c>
      <c r="K61" s="25"/>
      <c r="L61" s="25"/>
      <c r="M61" s="30"/>
      <c r="N61" s="31"/>
      <c r="O61" s="26"/>
      <c r="P61" s="32"/>
      <c r="Q61" s="18">
        <v>0</v>
      </c>
      <c r="R61" s="19"/>
    </row>
    <row r="62" spans="1:18" ht="24.95" customHeight="1">
      <c r="A62" s="2" t="s">
        <v>13</v>
      </c>
      <c r="B62" s="3" t="s">
        <v>14</v>
      </c>
      <c r="C62" s="4" t="s">
        <v>15</v>
      </c>
      <c r="D62" s="4" t="s">
        <v>3</v>
      </c>
      <c r="E62" s="3" t="s">
        <v>16</v>
      </c>
      <c r="F62" s="3" t="s">
        <v>17</v>
      </c>
      <c r="G62" s="3" t="s">
        <v>18</v>
      </c>
      <c r="H62" s="3" t="s">
        <v>19</v>
      </c>
      <c r="I62" s="3" t="s">
        <v>20</v>
      </c>
      <c r="J62" s="6" t="s">
        <v>21</v>
      </c>
      <c r="K62" s="7" t="s">
        <v>22</v>
      </c>
      <c r="L62" s="3" t="s">
        <v>23</v>
      </c>
      <c r="M62" s="3" t="s">
        <v>24</v>
      </c>
      <c r="N62" s="3" t="s">
        <v>25</v>
      </c>
      <c r="O62" s="8" t="s">
        <v>26</v>
      </c>
      <c r="P62" s="9" t="s">
        <v>27</v>
      </c>
      <c r="Q62" s="18">
        <v>0</v>
      </c>
      <c r="R62" s="19"/>
    </row>
    <row r="63" spans="1:18" ht="24.95" customHeight="1">
      <c r="A63" s="132" t="s">
        <v>172</v>
      </c>
      <c r="B63" s="12" t="s">
        <v>28</v>
      </c>
      <c r="C63" s="13">
        <v>46022</v>
      </c>
      <c r="D63" s="13">
        <v>46022</v>
      </c>
      <c r="E63" s="12" t="s">
        <v>29</v>
      </c>
      <c r="F63" s="14" t="s">
        <v>30</v>
      </c>
      <c r="G63" s="12" t="s">
        <v>184</v>
      </c>
      <c r="H63" s="20" t="s">
        <v>185</v>
      </c>
      <c r="I63" s="12" t="s">
        <v>74</v>
      </c>
      <c r="J63" s="15">
        <v>357</v>
      </c>
      <c r="K63" s="12" t="s">
        <v>32</v>
      </c>
      <c r="L63" s="12" t="s">
        <v>33</v>
      </c>
      <c r="M63" s="33" t="s">
        <v>34</v>
      </c>
      <c r="N63" s="13"/>
      <c r="O63" s="13">
        <v>46053</v>
      </c>
      <c r="P63" s="17">
        <v>45850</v>
      </c>
      <c r="Q63" s="18">
        <v>357</v>
      </c>
      <c r="R63" s="19"/>
    </row>
    <row r="64" spans="1:18" ht="24.95" customHeight="1">
      <c r="A64" s="133"/>
      <c r="B64" s="12" t="s">
        <v>28</v>
      </c>
      <c r="C64" s="13">
        <v>45930</v>
      </c>
      <c r="D64" s="13">
        <v>46022</v>
      </c>
      <c r="E64" s="12" t="s">
        <v>29</v>
      </c>
      <c r="F64" s="14" t="s">
        <v>30</v>
      </c>
      <c r="G64" s="12" t="s">
        <v>186</v>
      </c>
      <c r="H64" s="20" t="s">
        <v>187</v>
      </c>
      <c r="I64" s="12" t="s">
        <v>35</v>
      </c>
      <c r="J64" s="15">
        <v>337</v>
      </c>
      <c r="K64" s="12" t="s">
        <v>32</v>
      </c>
      <c r="L64" s="12" t="s">
        <v>188</v>
      </c>
      <c r="M64" s="33" t="s">
        <v>34</v>
      </c>
      <c r="N64" s="13"/>
      <c r="O64" s="13">
        <v>46022</v>
      </c>
      <c r="P64" s="17">
        <v>45884</v>
      </c>
      <c r="Q64" s="18">
        <v>337</v>
      </c>
      <c r="R64" s="19"/>
    </row>
    <row r="65" spans="1:18" ht="24.95" customHeight="1">
      <c r="A65" s="133"/>
      <c r="B65" s="12" t="s">
        <v>28</v>
      </c>
      <c r="C65" s="13">
        <v>46022</v>
      </c>
      <c r="D65" s="13">
        <v>46022</v>
      </c>
      <c r="E65" s="12" t="s">
        <v>29</v>
      </c>
      <c r="F65" s="14" t="s">
        <v>30</v>
      </c>
      <c r="G65" s="12" t="s">
        <v>189</v>
      </c>
      <c r="H65" s="20" t="s">
        <v>190</v>
      </c>
      <c r="I65" s="12" t="s">
        <v>31</v>
      </c>
      <c r="J65" s="15">
        <v>501</v>
      </c>
      <c r="K65" s="12" t="s">
        <v>32</v>
      </c>
      <c r="L65" s="12" t="s">
        <v>89</v>
      </c>
      <c r="M65" s="33" t="s">
        <v>34</v>
      </c>
      <c r="N65" s="13"/>
      <c r="O65" s="13">
        <v>46022</v>
      </c>
      <c r="P65" s="17">
        <v>45835</v>
      </c>
      <c r="Q65" s="18">
        <v>501</v>
      </c>
      <c r="R65" s="19"/>
    </row>
    <row r="66" spans="1:18" ht="24.95" customHeight="1">
      <c r="A66" s="133"/>
      <c r="B66" s="12" t="s">
        <v>28</v>
      </c>
      <c r="C66" s="13">
        <v>46022</v>
      </c>
      <c r="D66" s="13">
        <v>46022</v>
      </c>
      <c r="E66" s="12" t="s">
        <v>29</v>
      </c>
      <c r="F66" s="14" t="s">
        <v>30</v>
      </c>
      <c r="G66" s="12" t="s">
        <v>191</v>
      </c>
      <c r="H66" s="20" t="s">
        <v>192</v>
      </c>
      <c r="I66" s="12" t="s">
        <v>31</v>
      </c>
      <c r="J66" s="15">
        <v>1106</v>
      </c>
      <c r="K66" s="12" t="s">
        <v>32</v>
      </c>
      <c r="L66" s="12" t="s">
        <v>37</v>
      </c>
      <c r="M66" s="33" t="s">
        <v>34</v>
      </c>
      <c r="N66" s="13"/>
      <c r="O66" s="13">
        <v>46053</v>
      </c>
      <c r="P66" s="17">
        <v>45850</v>
      </c>
      <c r="Q66" s="18">
        <v>1106</v>
      </c>
      <c r="R66" s="19"/>
    </row>
    <row r="67" spans="1:18" ht="24.95" customHeight="1">
      <c r="A67" s="133"/>
      <c r="B67" s="12" t="s">
        <v>28</v>
      </c>
      <c r="C67" s="13">
        <v>46022</v>
      </c>
      <c r="D67" s="13">
        <v>46022</v>
      </c>
      <c r="E67" s="12" t="s">
        <v>29</v>
      </c>
      <c r="F67" s="14" t="s">
        <v>30</v>
      </c>
      <c r="G67" s="12" t="s">
        <v>193</v>
      </c>
      <c r="H67" s="20" t="s">
        <v>194</v>
      </c>
      <c r="I67" s="12" t="s">
        <v>31</v>
      </c>
      <c r="J67" s="15">
        <v>709</v>
      </c>
      <c r="K67" s="12" t="s">
        <v>32</v>
      </c>
      <c r="L67" s="12" t="s">
        <v>33</v>
      </c>
      <c r="M67" s="33" t="s">
        <v>34</v>
      </c>
      <c r="N67" s="13"/>
      <c r="O67" s="13">
        <v>46053</v>
      </c>
      <c r="P67" s="17">
        <v>45850</v>
      </c>
      <c r="Q67" s="18">
        <v>709</v>
      </c>
      <c r="R67" s="19"/>
    </row>
    <row r="68" spans="1:18" ht="24.95" customHeight="1">
      <c r="A68" s="133"/>
      <c r="B68" s="12" t="s">
        <v>28</v>
      </c>
      <c r="C68" s="13">
        <v>46022</v>
      </c>
      <c r="D68" s="13">
        <v>46022</v>
      </c>
      <c r="E68" s="12" t="s">
        <v>106</v>
      </c>
      <c r="F68" s="14" t="s">
        <v>30</v>
      </c>
      <c r="G68" s="12" t="s">
        <v>195</v>
      </c>
      <c r="H68" s="20" t="s">
        <v>196</v>
      </c>
      <c r="I68" s="12" t="s">
        <v>133</v>
      </c>
      <c r="J68" s="15">
        <v>345</v>
      </c>
      <c r="K68" s="12" t="s">
        <v>32</v>
      </c>
      <c r="L68" s="12" t="s">
        <v>42</v>
      </c>
      <c r="M68" s="33" t="s">
        <v>34</v>
      </c>
      <c r="N68" s="13"/>
      <c r="O68" s="13">
        <v>46022</v>
      </c>
      <c r="P68" s="17">
        <v>45835</v>
      </c>
      <c r="Q68" s="18">
        <v>345</v>
      </c>
      <c r="R68" s="19"/>
    </row>
    <row r="69" spans="1:18" ht="24.95" customHeight="1">
      <c r="A69" s="133"/>
      <c r="B69" s="12" t="s">
        <v>28</v>
      </c>
      <c r="C69" s="13">
        <v>46022</v>
      </c>
      <c r="D69" s="13">
        <v>46022</v>
      </c>
      <c r="E69" s="12" t="s">
        <v>29</v>
      </c>
      <c r="F69" s="14" t="s">
        <v>30</v>
      </c>
      <c r="G69" s="12" t="s">
        <v>197</v>
      </c>
      <c r="H69" s="20" t="s">
        <v>198</v>
      </c>
      <c r="I69" s="12" t="s">
        <v>47</v>
      </c>
      <c r="J69" s="15">
        <v>126</v>
      </c>
      <c r="K69" s="12" t="s">
        <v>32</v>
      </c>
      <c r="L69" s="12" t="s">
        <v>84</v>
      </c>
      <c r="M69" s="33" t="s">
        <v>34</v>
      </c>
      <c r="N69" s="13"/>
      <c r="O69" s="13">
        <v>46053</v>
      </c>
      <c r="P69" s="17">
        <v>45849</v>
      </c>
      <c r="Q69" s="18">
        <v>126</v>
      </c>
      <c r="R69" s="19"/>
    </row>
    <row r="70" spans="1:18" ht="24.95" customHeight="1">
      <c r="A70" s="133"/>
      <c r="B70" s="12" t="s">
        <v>28</v>
      </c>
      <c r="C70" s="13">
        <v>46022</v>
      </c>
      <c r="D70" s="13">
        <v>46022</v>
      </c>
      <c r="E70" s="50" t="s">
        <v>106</v>
      </c>
      <c r="F70" s="14" t="s">
        <v>30</v>
      </c>
      <c r="G70" s="12" t="s">
        <v>199</v>
      </c>
      <c r="H70" s="20" t="s">
        <v>200</v>
      </c>
      <c r="I70" s="12" t="s">
        <v>53</v>
      </c>
      <c r="J70" s="15">
        <v>100</v>
      </c>
      <c r="K70" s="12" t="s">
        <v>32</v>
      </c>
      <c r="L70" s="12" t="s">
        <v>84</v>
      </c>
      <c r="M70" s="33" t="s">
        <v>34</v>
      </c>
      <c r="N70" s="13"/>
      <c r="O70" s="13">
        <v>46053</v>
      </c>
      <c r="P70" s="17">
        <v>45849</v>
      </c>
      <c r="Q70" s="18">
        <v>100</v>
      </c>
      <c r="R70" s="19"/>
    </row>
    <row r="71" spans="1:18" ht="24.95" customHeight="1">
      <c r="A71" s="133"/>
      <c r="B71" s="12" t="s">
        <v>28</v>
      </c>
      <c r="C71" s="13">
        <v>46022</v>
      </c>
      <c r="D71" s="13">
        <v>46022</v>
      </c>
      <c r="E71" s="12" t="s">
        <v>29</v>
      </c>
      <c r="F71" s="14" t="s">
        <v>30</v>
      </c>
      <c r="G71" s="12" t="s">
        <v>205</v>
      </c>
      <c r="H71" s="20" t="s">
        <v>206</v>
      </c>
      <c r="I71" s="12" t="s">
        <v>58</v>
      </c>
      <c r="J71" s="15">
        <v>101</v>
      </c>
      <c r="K71" s="12" t="s">
        <v>32</v>
      </c>
      <c r="L71" s="12" t="s">
        <v>33</v>
      </c>
      <c r="M71" s="33" t="s">
        <v>34</v>
      </c>
      <c r="N71" s="13"/>
      <c r="O71" s="13">
        <v>46022</v>
      </c>
      <c r="P71" s="17">
        <v>45849</v>
      </c>
      <c r="Q71" s="18">
        <v>101</v>
      </c>
      <c r="R71" s="19"/>
    </row>
    <row r="72" spans="1:18" ht="24.95" customHeight="1">
      <c r="A72" s="133"/>
      <c r="B72" s="12" t="s">
        <v>28</v>
      </c>
      <c r="C72" s="13">
        <v>45961</v>
      </c>
      <c r="D72" s="13">
        <v>46022</v>
      </c>
      <c r="E72" s="12" t="s">
        <v>29</v>
      </c>
      <c r="F72" s="14" t="s">
        <v>30</v>
      </c>
      <c r="G72" s="12" t="s">
        <v>207</v>
      </c>
      <c r="H72" s="20" t="s">
        <v>208</v>
      </c>
      <c r="I72" s="12" t="s">
        <v>130</v>
      </c>
      <c r="J72" s="15">
        <v>217</v>
      </c>
      <c r="K72" s="12" t="s">
        <v>32</v>
      </c>
      <c r="L72" s="12" t="s">
        <v>33</v>
      </c>
      <c r="M72" s="33" t="s">
        <v>34</v>
      </c>
      <c r="N72" s="13"/>
      <c r="O72" s="13">
        <v>46022</v>
      </c>
      <c r="P72" s="17">
        <v>45870</v>
      </c>
      <c r="Q72" s="18">
        <v>217</v>
      </c>
      <c r="R72" s="19"/>
    </row>
    <row r="73" spans="1:18" ht="24.95" customHeight="1">
      <c r="A73" s="133"/>
      <c r="B73" s="12" t="s">
        <v>28</v>
      </c>
      <c r="C73" s="13">
        <v>46022</v>
      </c>
      <c r="D73" s="13">
        <v>46022</v>
      </c>
      <c r="E73" s="12" t="s">
        <v>29</v>
      </c>
      <c r="F73" s="14" t="s">
        <v>30</v>
      </c>
      <c r="G73" s="12" t="s">
        <v>201</v>
      </c>
      <c r="H73" s="20" t="s">
        <v>202</v>
      </c>
      <c r="I73" s="12" t="s">
        <v>55</v>
      </c>
      <c r="J73" s="15">
        <v>188</v>
      </c>
      <c r="K73" s="12" t="s">
        <v>32</v>
      </c>
      <c r="L73" s="12" t="s">
        <v>84</v>
      </c>
      <c r="M73" s="33" t="s">
        <v>34</v>
      </c>
      <c r="N73" s="13"/>
      <c r="O73" s="13">
        <v>46022</v>
      </c>
      <c r="P73" s="17">
        <v>45870</v>
      </c>
      <c r="Q73" s="18">
        <v>188</v>
      </c>
      <c r="R73" s="19"/>
    </row>
    <row r="74" spans="1:18" ht="24.95" customHeight="1">
      <c r="A74" s="133"/>
      <c r="B74" s="12" t="s">
        <v>28</v>
      </c>
      <c r="C74" s="13">
        <v>46022</v>
      </c>
      <c r="D74" s="13">
        <v>46022</v>
      </c>
      <c r="E74" s="12" t="s">
        <v>29</v>
      </c>
      <c r="F74" s="14" t="s">
        <v>30</v>
      </c>
      <c r="G74" s="12" t="s">
        <v>203</v>
      </c>
      <c r="H74" s="20" t="s">
        <v>204</v>
      </c>
      <c r="I74" s="12" t="s">
        <v>55</v>
      </c>
      <c r="J74" s="15">
        <v>153</v>
      </c>
      <c r="K74" s="12" t="s">
        <v>32</v>
      </c>
      <c r="L74" s="12" t="s">
        <v>84</v>
      </c>
      <c r="M74" s="33" t="s">
        <v>34</v>
      </c>
      <c r="N74" s="13"/>
      <c r="O74" s="13">
        <v>46022</v>
      </c>
      <c r="P74" s="17">
        <v>45870</v>
      </c>
      <c r="Q74" s="18">
        <v>153</v>
      </c>
      <c r="R74" s="19"/>
    </row>
    <row r="75" spans="1:18" s="19" customFormat="1" ht="24.95" customHeight="1" thickBot="1">
      <c r="A75" s="133"/>
      <c r="B75" s="12" t="s">
        <v>28</v>
      </c>
      <c r="C75" s="13">
        <v>45961</v>
      </c>
      <c r="D75" s="13">
        <v>45961</v>
      </c>
      <c r="E75" s="12" t="s">
        <v>29</v>
      </c>
      <c r="F75" s="14" t="s">
        <v>30</v>
      </c>
      <c r="G75" s="12" t="s">
        <v>181</v>
      </c>
      <c r="H75" s="20" t="s">
        <v>182</v>
      </c>
      <c r="I75" s="20" t="s">
        <v>55</v>
      </c>
      <c r="J75" s="15">
        <v>787</v>
      </c>
      <c r="K75" s="20" t="s">
        <v>56</v>
      </c>
      <c r="L75" s="20" t="s">
        <v>122</v>
      </c>
      <c r="M75" s="33" t="s">
        <v>34</v>
      </c>
      <c r="N75" s="21" t="s">
        <v>183</v>
      </c>
      <c r="O75" s="13">
        <v>45976</v>
      </c>
      <c r="P75" s="17">
        <v>45870</v>
      </c>
      <c r="Q75" s="18">
        <v>487</v>
      </c>
    </row>
    <row r="76" spans="1:18" ht="24.95" customHeight="1" thickBot="1">
      <c r="A76" s="24"/>
      <c r="B76" s="25"/>
      <c r="C76" s="26"/>
      <c r="D76" s="26"/>
      <c r="E76" s="25"/>
      <c r="F76" s="27"/>
      <c r="G76" s="25"/>
      <c r="H76" s="28"/>
      <c r="I76" s="25"/>
      <c r="J76" s="29">
        <v>5027</v>
      </c>
      <c r="K76" s="25"/>
      <c r="L76" s="25"/>
      <c r="M76" s="30"/>
      <c r="N76" s="31"/>
      <c r="O76" s="26"/>
      <c r="P76" s="32"/>
    </row>
    <row r="77" spans="1:18" s="19" customFormat="1" ht="24.95" customHeight="1" thickBot="1">
      <c r="A77" s="59"/>
      <c r="B77" s="25"/>
      <c r="C77" s="26"/>
      <c r="D77" s="26"/>
      <c r="E77" s="25"/>
      <c r="F77" s="27"/>
      <c r="G77" s="60"/>
      <c r="H77" s="135" t="s">
        <v>393</v>
      </c>
      <c r="I77" s="136"/>
      <c r="J77" s="136"/>
      <c r="K77" s="136"/>
      <c r="L77" s="137"/>
      <c r="M77" s="61"/>
      <c r="N77" s="62"/>
      <c r="O77" s="62"/>
      <c r="P77" s="63"/>
    </row>
    <row r="78" spans="1:18" ht="24.95" customHeight="1">
      <c r="A78" s="68" t="s">
        <v>209</v>
      </c>
      <c r="B78" s="69"/>
      <c r="C78" s="64">
        <v>45963</v>
      </c>
      <c r="D78" s="64">
        <v>45964</v>
      </c>
      <c r="E78" s="64">
        <v>45965</v>
      </c>
      <c r="F78" s="64">
        <v>45966</v>
      </c>
      <c r="G78" s="64">
        <v>45967</v>
      </c>
      <c r="H78" s="64">
        <v>45968</v>
      </c>
      <c r="I78" s="64">
        <v>45969</v>
      </c>
      <c r="J78" s="64">
        <v>45970</v>
      </c>
      <c r="K78" s="64">
        <v>45971</v>
      </c>
      <c r="L78" s="64">
        <v>45972</v>
      </c>
      <c r="M78" s="64">
        <v>45973</v>
      </c>
      <c r="N78" s="64">
        <v>45974</v>
      </c>
      <c r="O78" s="64">
        <v>45975</v>
      </c>
      <c r="P78" s="65">
        <v>45976</v>
      </c>
    </row>
    <row r="79" spans="1:18" ht="24.95" customHeight="1">
      <c r="A79" s="66" t="s">
        <v>210</v>
      </c>
      <c r="B79" s="67"/>
      <c r="C79" s="67"/>
      <c r="D79" s="16"/>
      <c r="E79" s="16"/>
      <c r="F79" s="16">
        <v>700</v>
      </c>
      <c r="G79" s="16">
        <v>700</v>
      </c>
      <c r="H79" s="16">
        <v>700</v>
      </c>
      <c r="I79" s="16">
        <v>700</v>
      </c>
      <c r="J79" s="67"/>
      <c r="K79" s="16">
        <v>700</v>
      </c>
      <c r="L79" s="16">
        <v>700</v>
      </c>
      <c r="M79" s="16">
        <v>700</v>
      </c>
      <c r="N79" s="16">
        <v>700</v>
      </c>
      <c r="O79" s="16">
        <v>700</v>
      </c>
      <c r="P79" s="70">
        <v>700</v>
      </c>
    </row>
    <row r="80" spans="1:18" ht="24.95" customHeight="1">
      <c r="A80" s="66" t="s">
        <v>211</v>
      </c>
      <c r="B80" s="67"/>
      <c r="C80" s="67"/>
      <c r="D80" s="16"/>
      <c r="E80" s="16"/>
      <c r="F80" s="16">
        <v>600</v>
      </c>
      <c r="G80" s="16">
        <v>600</v>
      </c>
      <c r="H80" s="16">
        <v>600</v>
      </c>
      <c r="I80" s="16">
        <v>600</v>
      </c>
      <c r="J80" s="67"/>
      <c r="K80" s="16">
        <v>600</v>
      </c>
      <c r="L80" s="16">
        <v>600</v>
      </c>
      <c r="M80" s="16">
        <v>600</v>
      </c>
      <c r="N80" s="16">
        <v>600</v>
      </c>
      <c r="O80" s="16">
        <v>600</v>
      </c>
      <c r="P80" s="70">
        <v>600</v>
      </c>
    </row>
    <row r="81" spans="1:16" ht="24.95" customHeight="1">
      <c r="A81" s="66" t="s">
        <v>212</v>
      </c>
      <c r="B81" s="67"/>
      <c r="C81" s="67"/>
      <c r="D81" s="16"/>
      <c r="E81" s="16"/>
      <c r="F81" s="16">
        <v>600</v>
      </c>
      <c r="G81" s="16">
        <v>600</v>
      </c>
      <c r="H81" s="16">
        <v>600</v>
      </c>
      <c r="I81" s="16">
        <v>600</v>
      </c>
      <c r="J81" s="67"/>
      <c r="K81" s="16">
        <v>600</v>
      </c>
      <c r="L81" s="16">
        <v>600</v>
      </c>
      <c r="M81" s="16">
        <v>600</v>
      </c>
      <c r="N81" s="16">
        <v>600</v>
      </c>
      <c r="O81" s="16">
        <v>600</v>
      </c>
      <c r="P81" s="70">
        <v>600</v>
      </c>
    </row>
    <row r="82" spans="1:16" ht="24.95" customHeight="1">
      <c r="A82" s="68" t="s">
        <v>209</v>
      </c>
      <c r="B82" s="69"/>
      <c r="C82" s="64">
        <v>45977</v>
      </c>
      <c r="D82" s="64">
        <v>45978</v>
      </c>
      <c r="E82" s="64">
        <v>45979</v>
      </c>
      <c r="F82" s="64">
        <v>45980</v>
      </c>
      <c r="G82" s="64">
        <v>45981</v>
      </c>
      <c r="H82" s="64">
        <v>45982</v>
      </c>
      <c r="I82" s="64">
        <v>45983</v>
      </c>
      <c r="J82" s="64">
        <v>45984</v>
      </c>
      <c r="K82" s="64">
        <v>45985</v>
      </c>
      <c r="L82" s="64">
        <v>45986</v>
      </c>
      <c r="M82" s="64">
        <v>45987</v>
      </c>
      <c r="N82" s="64">
        <v>45988</v>
      </c>
      <c r="O82" s="64">
        <v>45989</v>
      </c>
      <c r="P82" s="65" t="s">
        <v>213</v>
      </c>
    </row>
    <row r="83" spans="1:16" ht="24.95" customHeight="1">
      <c r="A83" s="66" t="s">
        <v>210</v>
      </c>
      <c r="B83" s="67"/>
      <c r="C83" s="67"/>
      <c r="D83" s="16">
        <v>700</v>
      </c>
      <c r="E83" s="16">
        <v>700</v>
      </c>
      <c r="F83" s="16">
        <v>700</v>
      </c>
      <c r="G83" s="16">
        <v>700</v>
      </c>
      <c r="H83" s="16">
        <v>700</v>
      </c>
      <c r="I83" s="16">
        <v>700</v>
      </c>
      <c r="J83" s="67"/>
      <c r="K83" s="16">
        <v>700</v>
      </c>
      <c r="L83" s="16">
        <v>304</v>
      </c>
      <c r="M83" s="16"/>
      <c r="N83" s="16"/>
      <c r="O83" s="16"/>
      <c r="P83" s="82">
        <v>12204</v>
      </c>
    </row>
    <row r="84" spans="1:16" ht="24.95" customHeight="1">
      <c r="A84" s="66" t="s">
        <v>211</v>
      </c>
      <c r="B84" s="67"/>
      <c r="C84" s="67"/>
      <c r="D84" s="16">
        <v>600</v>
      </c>
      <c r="E84" s="16">
        <v>600</v>
      </c>
      <c r="F84" s="16">
        <v>600</v>
      </c>
      <c r="G84" s="16">
        <v>600</v>
      </c>
      <c r="H84" s="16">
        <v>600</v>
      </c>
      <c r="I84" s="16">
        <v>600</v>
      </c>
      <c r="J84" s="67"/>
      <c r="K84" s="16">
        <v>600</v>
      </c>
      <c r="L84" s="16">
        <v>303</v>
      </c>
      <c r="M84" s="16"/>
      <c r="N84" s="16"/>
      <c r="O84" s="16"/>
      <c r="P84" s="82">
        <v>10503</v>
      </c>
    </row>
    <row r="85" spans="1:16" ht="24.95" customHeight="1">
      <c r="A85" s="66" t="s">
        <v>212</v>
      </c>
      <c r="B85" s="67"/>
      <c r="C85" s="67"/>
      <c r="D85" s="16">
        <v>600</v>
      </c>
      <c r="E85" s="16">
        <v>600</v>
      </c>
      <c r="F85" s="16">
        <v>600</v>
      </c>
      <c r="G85" s="16">
        <v>600</v>
      </c>
      <c r="H85" s="16">
        <v>600</v>
      </c>
      <c r="I85" s="16">
        <v>600</v>
      </c>
      <c r="J85" s="67"/>
      <c r="K85" s="16">
        <v>600</v>
      </c>
      <c r="L85" s="16">
        <v>303</v>
      </c>
      <c r="M85" s="16"/>
      <c r="N85" s="16"/>
      <c r="O85" s="16"/>
      <c r="P85" s="82">
        <v>10503</v>
      </c>
    </row>
    <row r="86" spans="1:16" ht="24.95" customHeight="1">
      <c r="A86" s="138" t="s">
        <v>214</v>
      </c>
      <c r="B86" s="139"/>
      <c r="C86" s="139"/>
      <c r="D86" s="139"/>
      <c r="E86" s="140"/>
      <c r="F86" s="144" t="s">
        <v>215</v>
      </c>
      <c r="G86" s="145"/>
      <c r="H86" s="145"/>
      <c r="I86" s="145"/>
      <c r="J86" s="145"/>
      <c r="K86" s="146"/>
      <c r="L86" s="150" t="s">
        <v>216</v>
      </c>
      <c r="M86" s="139"/>
      <c r="N86" s="139"/>
      <c r="O86" s="140"/>
      <c r="P86" s="127">
        <v>33210</v>
      </c>
    </row>
    <row r="87" spans="1:16" ht="24.95" customHeight="1" thickBot="1">
      <c r="A87" s="141"/>
      <c r="B87" s="142"/>
      <c r="C87" s="142"/>
      <c r="D87" s="142"/>
      <c r="E87" s="143"/>
      <c r="F87" s="147"/>
      <c r="G87" s="148"/>
      <c r="H87" s="148"/>
      <c r="I87" s="148"/>
      <c r="J87" s="148"/>
      <c r="K87" s="149"/>
      <c r="L87" s="151"/>
      <c r="M87" s="142"/>
      <c r="N87" s="142"/>
      <c r="O87" s="143"/>
      <c r="P87" s="128"/>
    </row>
    <row r="88" spans="1:16" ht="24.95" customHeight="1">
      <c r="A88" s="19"/>
      <c r="B88" s="19"/>
      <c r="C88" s="19"/>
      <c r="D88" s="19"/>
      <c r="E88" s="19"/>
      <c r="F88" s="72"/>
      <c r="G88" s="72"/>
      <c r="H88" s="72"/>
      <c r="I88" s="72"/>
      <c r="J88" s="72"/>
      <c r="K88" s="72"/>
      <c r="L88" s="19"/>
      <c r="M88" s="19"/>
      <c r="N88" s="19"/>
      <c r="O88" s="19"/>
      <c r="P88" s="19"/>
    </row>
  </sheetData>
  <mergeCells count="11">
    <mergeCell ref="A1:P1"/>
    <mergeCell ref="A2:P2"/>
    <mergeCell ref="P86:P87"/>
    <mergeCell ref="A5:A31"/>
    <mergeCell ref="A34:A45"/>
    <mergeCell ref="A48:A60"/>
    <mergeCell ref="H77:L77"/>
    <mergeCell ref="A86:E87"/>
    <mergeCell ref="F86:K87"/>
    <mergeCell ref="L86:O87"/>
    <mergeCell ref="A63:A75"/>
  </mergeCells>
  <printOptions horizontalCentered="1" verticalCentered="1"/>
  <pageMargins left="0" right="0" top="0" bottom="0" header="0" footer="0"/>
  <pageSetup paperSize="9" scale="53" fitToHeight="0" orientation="landscape" r:id="rId1"/>
  <rowBreaks count="1" manualBreakCount="1">
    <brk id="43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28"/>
  <sheetViews>
    <sheetView view="pageBreakPreview" topLeftCell="E21" zoomScale="86" zoomScaleNormal="100" zoomScaleSheetLayoutView="86" workbookViewId="0">
      <selection activeCell="G6" sqref="G6"/>
    </sheetView>
  </sheetViews>
  <sheetFormatPr defaultColWidth="28" defaultRowHeight="35.1" customHeight="1"/>
  <cols>
    <col min="1" max="1" width="14" style="1" bestFit="1" customWidth="1"/>
    <col min="2" max="2" width="9.7109375" style="1" bestFit="1" customWidth="1"/>
    <col min="3" max="4" width="15.7109375" style="1" bestFit="1" customWidth="1"/>
    <col min="5" max="5" width="43.140625" style="1" bestFit="1" customWidth="1"/>
    <col min="6" max="6" width="10.85546875" style="1" bestFit="1" customWidth="1"/>
    <col min="7" max="7" width="17.7109375" style="1" bestFit="1" customWidth="1"/>
    <col min="8" max="8" width="14.5703125" style="1" bestFit="1" customWidth="1"/>
    <col min="9" max="9" width="10.140625" style="1" bestFit="1" customWidth="1"/>
    <col min="10" max="10" width="9.28515625" style="1" bestFit="1" customWidth="1"/>
    <col min="11" max="11" width="14.42578125" style="1" bestFit="1" customWidth="1"/>
    <col min="12" max="12" width="17.7109375" style="1" bestFit="1" customWidth="1"/>
    <col min="13" max="13" width="20.85546875" style="1" bestFit="1" customWidth="1"/>
    <col min="14" max="14" width="12.140625" style="1" bestFit="1" customWidth="1"/>
    <col min="15" max="15" width="15.7109375" style="1" bestFit="1" customWidth="1"/>
    <col min="16" max="16" width="18.7109375" style="1" bestFit="1" customWidth="1"/>
    <col min="17" max="17" width="10.28515625" style="1" customWidth="1"/>
    <col min="18" max="18" width="13.7109375" style="1" customWidth="1"/>
    <col min="19" max="19" width="12.7109375" style="1" customWidth="1"/>
    <col min="20" max="16384" width="28" style="1"/>
  </cols>
  <sheetData>
    <row r="1" spans="1:18" ht="35.1" customHeight="1" thickBot="1">
      <c r="A1" s="124" t="s">
        <v>377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6"/>
    </row>
    <row r="2" spans="1:18" ht="35.1" customHeight="1" thickBot="1">
      <c r="A2" s="124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6"/>
    </row>
    <row r="3" spans="1:18" ht="35.1" customHeight="1">
      <c r="A3" s="2"/>
      <c r="B3" s="3" t="s">
        <v>1</v>
      </c>
      <c r="C3" s="4" t="s">
        <v>2</v>
      </c>
      <c r="D3" s="4" t="s">
        <v>3</v>
      </c>
      <c r="E3" s="3" t="s">
        <v>4</v>
      </c>
      <c r="F3" s="3" t="s">
        <v>5</v>
      </c>
      <c r="G3" s="5" t="s">
        <v>6</v>
      </c>
      <c r="H3" s="3"/>
      <c r="I3" s="3" t="s">
        <v>7</v>
      </c>
      <c r="J3" s="6" t="s">
        <v>8</v>
      </c>
      <c r="K3" s="7"/>
      <c r="L3" s="3" t="s">
        <v>9</v>
      </c>
      <c r="M3" s="3" t="s">
        <v>10</v>
      </c>
      <c r="N3" s="3" t="s">
        <v>11</v>
      </c>
      <c r="O3" s="8" t="s">
        <v>12</v>
      </c>
      <c r="P3" s="9"/>
    </row>
    <row r="4" spans="1:18" ht="35.1" customHeight="1">
      <c r="A4" s="10" t="s">
        <v>13</v>
      </c>
      <c r="B4" s="3" t="s">
        <v>14</v>
      </c>
      <c r="C4" s="4" t="s">
        <v>15</v>
      </c>
      <c r="D4" s="4" t="s">
        <v>3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6" t="s">
        <v>21</v>
      </c>
      <c r="K4" s="7" t="s">
        <v>22</v>
      </c>
      <c r="L4" s="3" t="s">
        <v>23</v>
      </c>
      <c r="M4" s="3" t="s">
        <v>24</v>
      </c>
      <c r="N4" s="3" t="s">
        <v>25</v>
      </c>
      <c r="O4" s="8" t="s">
        <v>26</v>
      </c>
      <c r="P4" s="11" t="s">
        <v>27</v>
      </c>
    </row>
    <row r="5" spans="1:18" s="19" customFormat="1" ht="35.1" customHeight="1">
      <c r="A5" s="129" t="s">
        <v>239</v>
      </c>
      <c r="B5" s="12" t="s">
        <v>231</v>
      </c>
      <c r="C5" s="13">
        <v>46006</v>
      </c>
      <c r="D5" s="13">
        <v>46006</v>
      </c>
      <c r="E5" s="12" t="s">
        <v>258</v>
      </c>
      <c r="F5" s="14" t="s">
        <v>233</v>
      </c>
      <c r="G5" s="12" t="s">
        <v>259</v>
      </c>
      <c r="H5" s="20" t="s">
        <v>260</v>
      </c>
      <c r="I5" s="12" t="s">
        <v>261</v>
      </c>
      <c r="J5" s="15">
        <v>1498</v>
      </c>
      <c r="K5" s="12" t="s">
        <v>32</v>
      </c>
      <c r="L5" s="12" t="s">
        <v>235</v>
      </c>
      <c r="M5" s="16"/>
      <c r="N5" s="16"/>
      <c r="O5" s="13">
        <v>46006</v>
      </c>
      <c r="P5" s="17">
        <v>45807</v>
      </c>
      <c r="Q5" s="18"/>
    </row>
    <row r="6" spans="1:18" s="19" customFormat="1" ht="35.1" customHeight="1">
      <c r="A6" s="130"/>
      <c r="B6" s="12" t="s">
        <v>231</v>
      </c>
      <c r="C6" s="13">
        <v>46006</v>
      </c>
      <c r="D6" s="13">
        <v>46006</v>
      </c>
      <c r="E6" s="12" t="s">
        <v>258</v>
      </c>
      <c r="F6" s="14" t="s">
        <v>233</v>
      </c>
      <c r="G6" s="12" t="s">
        <v>265</v>
      </c>
      <c r="H6" s="20" t="s">
        <v>266</v>
      </c>
      <c r="I6" s="12" t="s">
        <v>267</v>
      </c>
      <c r="J6" s="15">
        <v>1337</v>
      </c>
      <c r="K6" s="12" t="s">
        <v>56</v>
      </c>
      <c r="L6" s="12" t="s">
        <v>235</v>
      </c>
      <c r="M6" s="16"/>
      <c r="N6" s="16"/>
      <c r="O6" s="13">
        <v>46006</v>
      </c>
      <c r="P6" s="17">
        <v>45835</v>
      </c>
      <c r="Q6" s="18"/>
    </row>
    <row r="7" spans="1:18" s="19" customFormat="1" ht="35.1" customHeight="1" thickBot="1">
      <c r="A7" s="131"/>
      <c r="B7" s="12" t="s">
        <v>231</v>
      </c>
      <c r="C7" s="13">
        <v>46006</v>
      </c>
      <c r="D7" s="13">
        <v>46006</v>
      </c>
      <c r="E7" s="12" t="s">
        <v>258</v>
      </c>
      <c r="F7" s="14" t="s">
        <v>233</v>
      </c>
      <c r="G7" s="12" t="s">
        <v>262</v>
      </c>
      <c r="H7" s="115" t="s">
        <v>263</v>
      </c>
      <c r="I7" s="12" t="s">
        <v>264</v>
      </c>
      <c r="J7" s="15">
        <v>3029</v>
      </c>
      <c r="K7" s="12" t="s">
        <v>56</v>
      </c>
      <c r="L7" s="12" t="s">
        <v>235</v>
      </c>
      <c r="M7" s="16" t="s">
        <v>369</v>
      </c>
      <c r="N7" s="16"/>
      <c r="O7" s="13">
        <v>46006</v>
      </c>
      <c r="P7" s="17">
        <v>45807</v>
      </c>
      <c r="Q7" s="18"/>
    </row>
    <row r="8" spans="1:18" ht="35.1" customHeight="1" thickBot="1">
      <c r="A8" s="24"/>
      <c r="B8" s="25"/>
      <c r="C8" s="26"/>
      <c r="D8" s="26"/>
      <c r="E8" s="25"/>
      <c r="F8" s="27"/>
      <c r="G8" s="25"/>
      <c r="H8" s="28"/>
      <c r="I8" s="25"/>
      <c r="J8" s="29">
        <v>5864</v>
      </c>
      <c r="K8" s="37"/>
      <c r="L8" s="25"/>
      <c r="M8" s="30"/>
      <c r="N8" s="31"/>
      <c r="O8" s="26"/>
      <c r="P8" s="32"/>
      <c r="Q8" s="18"/>
      <c r="R8" s="19"/>
    </row>
    <row r="9" spans="1:18" ht="35.1" customHeight="1">
      <c r="A9" s="2" t="s">
        <v>13</v>
      </c>
      <c r="B9" s="3" t="s">
        <v>14</v>
      </c>
      <c r="C9" s="4" t="s">
        <v>15</v>
      </c>
      <c r="D9" s="4" t="s">
        <v>3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6" t="s">
        <v>21</v>
      </c>
      <c r="K9" s="7" t="s">
        <v>22</v>
      </c>
      <c r="L9" s="3" t="s">
        <v>23</v>
      </c>
      <c r="M9" s="3" t="s">
        <v>24</v>
      </c>
      <c r="N9" s="3" t="s">
        <v>25</v>
      </c>
      <c r="O9" s="8" t="s">
        <v>26</v>
      </c>
      <c r="P9" s="9" t="s">
        <v>27</v>
      </c>
      <c r="Q9" s="18"/>
      <c r="R9" s="19"/>
    </row>
    <row r="10" spans="1:18" s="19" customFormat="1" ht="35.1" customHeight="1">
      <c r="A10" s="129" t="s">
        <v>240</v>
      </c>
      <c r="B10" s="12" t="s">
        <v>231</v>
      </c>
      <c r="C10" s="13">
        <v>46006</v>
      </c>
      <c r="D10" s="13">
        <v>46006</v>
      </c>
      <c r="E10" s="12" t="s">
        <v>254</v>
      </c>
      <c r="F10" s="14" t="s">
        <v>233</v>
      </c>
      <c r="G10" s="12" t="s">
        <v>255</v>
      </c>
      <c r="H10" s="115" t="s">
        <v>256</v>
      </c>
      <c r="I10" s="12" t="s">
        <v>257</v>
      </c>
      <c r="J10" s="15">
        <v>3465</v>
      </c>
      <c r="K10" s="12" t="s">
        <v>56</v>
      </c>
      <c r="L10" s="12" t="s">
        <v>235</v>
      </c>
      <c r="M10" s="16" t="s">
        <v>369</v>
      </c>
      <c r="N10" s="16"/>
      <c r="O10" s="13">
        <v>46006</v>
      </c>
      <c r="P10" s="17">
        <v>45807</v>
      </c>
      <c r="Q10" s="18"/>
    </row>
    <row r="11" spans="1:18" s="19" customFormat="1" ht="35.1" customHeight="1" thickBot="1">
      <c r="A11" s="131"/>
      <c r="B11" s="12" t="s">
        <v>231</v>
      </c>
      <c r="C11" s="13">
        <v>46006</v>
      </c>
      <c r="D11" s="13">
        <v>46006</v>
      </c>
      <c r="E11" s="12" t="s">
        <v>268</v>
      </c>
      <c r="F11" s="14" t="s">
        <v>233</v>
      </c>
      <c r="G11" s="12" t="s">
        <v>269</v>
      </c>
      <c r="H11" s="115" t="s">
        <v>270</v>
      </c>
      <c r="I11" s="12" t="s">
        <v>271</v>
      </c>
      <c r="J11" s="15">
        <v>3832</v>
      </c>
      <c r="K11" s="12" t="s">
        <v>56</v>
      </c>
      <c r="L11" s="12" t="s">
        <v>235</v>
      </c>
      <c r="M11" s="16" t="s">
        <v>369</v>
      </c>
      <c r="N11" s="16"/>
      <c r="O11" s="13">
        <v>46037</v>
      </c>
      <c r="P11" s="17">
        <v>45835</v>
      </c>
      <c r="Q11" s="18"/>
    </row>
    <row r="12" spans="1:18" ht="35.1" customHeight="1" thickBot="1">
      <c r="A12" s="24"/>
      <c r="B12" s="25"/>
      <c r="C12" s="26"/>
      <c r="D12" s="26"/>
      <c r="E12" s="25"/>
      <c r="F12" s="27"/>
      <c r="G12" s="25"/>
      <c r="H12" s="28"/>
      <c r="I12" s="25"/>
      <c r="J12" s="29">
        <v>7297</v>
      </c>
      <c r="K12" s="37"/>
      <c r="L12" s="25"/>
      <c r="M12" s="30"/>
      <c r="N12" s="31"/>
      <c r="O12" s="26"/>
      <c r="P12" s="32"/>
      <c r="Q12" s="18"/>
      <c r="R12" s="19"/>
    </row>
    <row r="13" spans="1:18" ht="35.1" customHeight="1">
      <c r="A13" s="2" t="s">
        <v>13</v>
      </c>
      <c r="B13" s="3" t="s">
        <v>14</v>
      </c>
      <c r="C13" s="4" t="s">
        <v>15</v>
      </c>
      <c r="D13" s="4" t="s">
        <v>3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6" t="s">
        <v>21</v>
      </c>
      <c r="K13" s="7" t="s">
        <v>22</v>
      </c>
      <c r="L13" s="3" t="s">
        <v>23</v>
      </c>
      <c r="M13" s="3" t="s">
        <v>24</v>
      </c>
      <c r="N13" s="3" t="s">
        <v>25</v>
      </c>
      <c r="O13" s="8" t="s">
        <v>26</v>
      </c>
      <c r="P13" s="9" t="s">
        <v>27</v>
      </c>
      <c r="Q13" s="18"/>
      <c r="R13" s="19"/>
    </row>
    <row r="14" spans="1:18" s="19" customFormat="1" ht="35.1" customHeight="1">
      <c r="A14" s="129" t="s">
        <v>249</v>
      </c>
      <c r="B14" s="12" t="s">
        <v>231</v>
      </c>
      <c r="C14" s="13">
        <v>45945</v>
      </c>
      <c r="D14" s="13">
        <v>46029</v>
      </c>
      <c r="E14" s="12" t="s">
        <v>258</v>
      </c>
      <c r="F14" s="14" t="s">
        <v>233</v>
      </c>
      <c r="G14" s="12" t="s">
        <v>333</v>
      </c>
      <c r="H14" s="20" t="s">
        <v>334</v>
      </c>
      <c r="I14" s="12" t="s">
        <v>277</v>
      </c>
      <c r="J14" s="15">
        <v>104</v>
      </c>
      <c r="K14" s="12" t="s">
        <v>32</v>
      </c>
      <c r="L14" s="12" t="s">
        <v>335</v>
      </c>
      <c r="M14" s="16"/>
      <c r="N14" s="16"/>
      <c r="O14" s="13">
        <v>46029</v>
      </c>
      <c r="P14" s="17">
        <v>45870</v>
      </c>
      <c r="Q14" s="18"/>
    </row>
    <row r="15" spans="1:18" s="19" customFormat="1" ht="35.1" customHeight="1">
      <c r="A15" s="130"/>
      <c r="B15" s="12" t="s">
        <v>231</v>
      </c>
      <c r="C15" s="13">
        <v>46037</v>
      </c>
      <c r="D15" s="13">
        <v>46037</v>
      </c>
      <c r="E15" s="12" t="s">
        <v>268</v>
      </c>
      <c r="F15" s="14" t="s">
        <v>233</v>
      </c>
      <c r="G15" s="12" t="s">
        <v>336</v>
      </c>
      <c r="H15" s="20" t="s">
        <v>337</v>
      </c>
      <c r="I15" s="12" t="s">
        <v>271</v>
      </c>
      <c r="J15" s="15">
        <v>2666</v>
      </c>
      <c r="K15" s="12" t="s">
        <v>56</v>
      </c>
      <c r="L15" s="12" t="s">
        <v>235</v>
      </c>
      <c r="M15" s="16"/>
      <c r="N15" s="16"/>
      <c r="O15" s="13">
        <v>46068</v>
      </c>
      <c r="P15" s="17">
        <v>45835</v>
      </c>
      <c r="Q15" s="18"/>
    </row>
    <row r="16" spans="1:18" s="19" customFormat="1" ht="35.1" customHeight="1">
      <c r="A16" s="130"/>
      <c r="B16" s="12" t="s">
        <v>231</v>
      </c>
      <c r="C16" s="13">
        <v>46037</v>
      </c>
      <c r="D16" s="13">
        <v>46037</v>
      </c>
      <c r="E16" s="12" t="s">
        <v>258</v>
      </c>
      <c r="F16" s="14" t="s">
        <v>233</v>
      </c>
      <c r="G16" s="12" t="s">
        <v>338</v>
      </c>
      <c r="H16" s="20" t="s">
        <v>339</v>
      </c>
      <c r="I16" s="12" t="s">
        <v>267</v>
      </c>
      <c r="J16" s="15">
        <v>732</v>
      </c>
      <c r="K16" s="12" t="s">
        <v>56</v>
      </c>
      <c r="L16" s="12" t="s">
        <v>235</v>
      </c>
      <c r="M16" s="16"/>
      <c r="N16" s="16"/>
      <c r="O16" s="13">
        <v>46037</v>
      </c>
      <c r="P16" s="17">
        <v>45835</v>
      </c>
      <c r="Q16" s="18"/>
    </row>
    <row r="17" spans="1:18" s="19" customFormat="1" ht="35.1" customHeight="1" thickBot="1">
      <c r="A17" s="131"/>
      <c r="B17" s="12" t="s">
        <v>231</v>
      </c>
      <c r="C17" s="13">
        <v>46053</v>
      </c>
      <c r="D17" s="13">
        <v>46053</v>
      </c>
      <c r="E17" s="12" t="s">
        <v>258</v>
      </c>
      <c r="F17" s="14" t="s">
        <v>233</v>
      </c>
      <c r="G17" s="12" t="s">
        <v>340</v>
      </c>
      <c r="H17" s="20" t="s">
        <v>341</v>
      </c>
      <c r="I17" s="12" t="s">
        <v>277</v>
      </c>
      <c r="J17" s="15">
        <v>153</v>
      </c>
      <c r="K17" s="12" t="s">
        <v>32</v>
      </c>
      <c r="L17" s="12" t="s">
        <v>84</v>
      </c>
      <c r="M17" s="16"/>
      <c r="N17" s="16"/>
      <c r="O17" s="13">
        <v>46053</v>
      </c>
      <c r="P17" s="17">
        <v>45835</v>
      </c>
      <c r="Q17" s="18"/>
    </row>
    <row r="18" spans="1:18" ht="35.1" customHeight="1" thickBot="1">
      <c r="A18" s="24"/>
      <c r="B18" s="25"/>
      <c r="C18" s="26"/>
      <c r="D18" s="26"/>
      <c r="E18" s="25"/>
      <c r="F18" s="27"/>
      <c r="G18" s="25"/>
      <c r="H18" s="28"/>
      <c r="I18" s="25"/>
      <c r="J18" s="29">
        <v>3655</v>
      </c>
      <c r="K18" s="37"/>
      <c r="L18" s="25"/>
      <c r="M18" s="30"/>
      <c r="N18" s="31"/>
      <c r="O18" s="26"/>
      <c r="P18" s="32"/>
      <c r="Q18" s="18"/>
      <c r="R18" s="19"/>
    </row>
    <row r="19" spans="1:18" s="19" customFormat="1" ht="35.1" customHeight="1" thickBot="1">
      <c r="A19" s="59"/>
      <c r="B19" s="25"/>
      <c r="C19" s="26"/>
      <c r="D19" s="26"/>
      <c r="E19" s="25"/>
      <c r="F19" s="27"/>
      <c r="G19" s="60"/>
      <c r="H19" s="135" t="s">
        <v>392</v>
      </c>
      <c r="I19" s="136"/>
      <c r="J19" s="136"/>
      <c r="K19" s="136"/>
      <c r="L19" s="137"/>
      <c r="M19" s="61"/>
      <c r="N19" s="62"/>
      <c r="O19" s="62"/>
      <c r="P19" s="63"/>
    </row>
    <row r="20" spans="1:18" ht="35.1" customHeight="1">
      <c r="A20" s="68" t="s">
        <v>209</v>
      </c>
      <c r="B20" s="69"/>
      <c r="C20" s="64">
        <v>45991</v>
      </c>
      <c r="D20" s="64">
        <v>45992</v>
      </c>
      <c r="E20" s="64">
        <v>45993</v>
      </c>
      <c r="F20" s="64">
        <v>45994</v>
      </c>
      <c r="G20" s="64">
        <v>45995</v>
      </c>
      <c r="H20" s="64">
        <v>45996</v>
      </c>
      <c r="I20" s="64">
        <v>45997</v>
      </c>
      <c r="J20" s="64">
        <v>45998</v>
      </c>
      <c r="K20" s="64">
        <v>45999</v>
      </c>
      <c r="L20" s="64">
        <v>46000</v>
      </c>
      <c r="M20" s="64">
        <v>46001</v>
      </c>
      <c r="N20" s="64">
        <v>46002</v>
      </c>
      <c r="O20" s="64">
        <v>46003</v>
      </c>
      <c r="P20" s="65">
        <v>46004</v>
      </c>
    </row>
    <row r="21" spans="1:18" ht="35.1" customHeight="1">
      <c r="A21" s="66" t="s">
        <v>252</v>
      </c>
      <c r="B21" s="67"/>
      <c r="C21" s="67"/>
      <c r="D21" s="16">
        <v>550</v>
      </c>
      <c r="E21" s="16">
        <v>550</v>
      </c>
      <c r="F21" s="16">
        <v>550</v>
      </c>
      <c r="G21" s="16">
        <v>550</v>
      </c>
      <c r="H21" s="16">
        <v>550</v>
      </c>
      <c r="I21" s="16">
        <v>550</v>
      </c>
      <c r="J21" s="67"/>
      <c r="K21" s="16">
        <v>550</v>
      </c>
      <c r="L21" s="16">
        <v>550</v>
      </c>
      <c r="M21" s="16">
        <v>550</v>
      </c>
      <c r="N21" s="16">
        <v>550</v>
      </c>
      <c r="O21" s="16">
        <v>550</v>
      </c>
      <c r="P21" s="82">
        <v>550</v>
      </c>
    </row>
    <row r="22" spans="1:18" ht="35.1" customHeight="1">
      <c r="A22" s="66" t="s">
        <v>253</v>
      </c>
      <c r="B22" s="67"/>
      <c r="C22" s="67"/>
      <c r="D22" s="16">
        <v>550</v>
      </c>
      <c r="E22" s="16">
        <v>550</v>
      </c>
      <c r="F22" s="16">
        <v>550</v>
      </c>
      <c r="G22" s="16">
        <v>550</v>
      </c>
      <c r="H22" s="16">
        <v>550</v>
      </c>
      <c r="I22" s="16">
        <v>550</v>
      </c>
      <c r="J22" s="67"/>
      <c r="K22" s="16">
        <v>550</v>
      </c>
      <c r="L22" s="16">
        <v>550</v>
      </c>
      <c r="M22" s="16">
        <v>550</v>
      </c>
      <c r="N22" s="16">
        <v>550</v>
      </c>
      <c r="O22" s="16">
        <v>550</v>
      </c>
      <c r="P22" s="82">
        <v>550</v>
      </c>
    </row>
    <row r="23" spans="1:18" ht="35.1" customHeight="1">
      <c r="A23" s="68" t="s">
        <v>209</v>
      </c>
      <c r="B23" s="69"/>
      <c r="C23" s="64">
        <v>46005</v>
      </c>
      <c r="D23" s="64">
        <v>46006</v>
      </c>
      <c r="E23" s="64">
        <v>46007</v>
      </c>
      <c r="F23" s="64">
        <v>46008</v>
      </c>
      <c r="G23" s="64">
        <v>46009</v>
      </c>
      <c r="H23" s="64">
        <v>46010</v>
      </c>
      <c r="I23" s="64">
        <v>46011</v>
      </c>
      <c r="J23" s="64">
        <v>46012</v>
      </c>
      <c r="K23" s="64">
        <v>46013</v>
      </c>
      <c r="L23" s="64">
        <v>46014</v>
      </c>
      <c r="M23" s="64">
        <v>46015</v>
      </c>
      <c r="N23" s="64">
        <v>46016</v>
      </c>
      <c r="O23" s="64">
        <v>46017</v>
      </c>
      <c r="P23" s="65" t="s">
        <v>213</v>
      </c>
    </row>
    <row r="24" spans="1:18" ht="35.1" customHeight="1">
      <c r="A24" s="66" t="s">
        <v>252</v>
      </c>
      <c r="B24" s="67"/>
      <c r="C24" s="67"/>
      <c r="D24" s="16">
        <v>550</v>
      </c>
      <c r="E24" s="16">
        <v>550</v>
      </c>
      <c r="F24" s="16">
        <v>550</v>
      </c>
      <c r="G24" s="16">
        <v>158</v>
      </c>
      <c r="H24" s="16"/>
      <c r="I24" s="16"/>
      <c r="J24" s="67"/>
      <c r="K24" s="16"/>
      <c r="L24" s="16"/>
      <c r="M24" s="16"/>
      <c r="N24" s="67"/>
      <c r="O24" s="16"/>
      <c r="P24" s="70">
        <v>8408</v>
      </c>
    </row>
    <row r="25" spans="1:18" ht="35.1" customHeight="1">
      <c r="A25" s="66" t="s">
        <v>253</v>
      </c>
      <c r="B25" s="67"/>
      <c r="C25" s="67"/>
      <c r="D25" s="75">
        <v>550</v>
      </c>
      <c r="E25" s="16">
        <v>550</v>
      </c>
      <c r="F25" s="16">
        <v>550</v>
      </c>
      <c r="G25" s="16">
        <v>158</v>
      </c>
      <c r="H25" s="16"/>
      <c r="I25" s="16"/>
      <c r="J25" s="67"/>
      <c r="K25" s="16"/>
      <c r="L25" s="16"/>
      <c r="M25" s="16"/>
      <c r="N25" s="67"/>
      <c r="O25" s="16"/>
      <c r="P25" s="70">
        <v>8408</v>
      </c>
    </row>
    <row r="26" spans="1:18" ht="35.1" customHeight="1">
      <c r="A26" s="138" t="s">
        <v>214</v>
      </c>
      <c r="B26" s="139"/>
      <c r="C26" s="139"/>
      <c r="D26" s="139"/>
      <c r="E26" s="140"/>
      <c r="F26" s="144" t="s">
        <v>215</v>
      </c>
      <c r="G26" s="145"/>
      <c r="H26" s="145"/>
      <c r="I26" s="145"/>
      <c r="J26" s="145"/>
      <c r="K26" s="146"/>
      <c r="L26" s="150" t="s">
        <v>216</v>
      </c>
      <c r="M26" s="139"/>
      <c r="N26" s="139"/>
      <c r="O26" s="140"/>
      <c r="P26" s="127">
        <v>16816</v>
      </c>
    </row>
    <row r="27" spans="1:18" ht="35.1" customHeight="1" thickBot="1">
      <c r="A27" s="141"/>
      <c r="B27" s="142"/>
      <c r="C27" s="142"/>
      <c r="D27" s="142"/>
      <c r="E27" s="143"/>
      <c r="F27" s="147"/>
      <c r="G27" s="148"/>
      <c r="H27" s="148"/>
      <c r="I27" s="148"/>
      <c r="J27" s="148"/>
      <c r="K27" s="149"/>
      <c r="L27" s="151"/>
      <c r="M27" s="142"/>
      <c r="N27" s="142"/>
      <c r="O27" s="143"/>
      <c r="P27" s="128"/>
    </row>
    <row r="28" spans="1:18" ht="35.1" customHeight="1">
      <c r="A28" s="19"/>
      <c r="B28" s="19"/>
      <c r="C28" s="19"/>
      <c r="D28" s="19"/>
      <c r="E28" s="19"/>
      <c r="F28" s="105"/>
      <c r="G28" s="105"/>
      <c r="H28" s="105"/>
      <c r="I28" s="105"/>
      <c r="J28" s="105"/>
      <c r="K28" s="105"/>
      <c r="L28" s="19"/>
      <c r="M28" s="19"/>
      <c r="N28" s="19"/>
      <c r="O28" s="19"/>
      <c r="P28" s="19"/>
    </row>
  </sheetData>
  <mergeCells count="10">
    <mergeCell ref="A1:P1"/>
    <mergeCell ref="A2:P2"/>
    <mergeCell ref="H19:L19"/>
    <mergeCell ref="A26:E27"/>
    <mergeCell ref="F26:K27"/>
    <mergeCell ref="L26:O27"/>
    <mergeCell ref="P26:P27"/>
    <mergeCell ref="A5:A7"/>
    <mergeCell ref="A10:A11"/>
    <mergeCell ref="A14:A17"/>
  </mergeCells>
  <printOptions horizontalCentered="1" verticalCentered="1"/>
  <pageMargins left="0" right="0" top="0" bottom="0" header="0" footer="0"/>
  <pageSetup paperSize="9" scale="5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43"/>
  <sheetViews>
    <sheetView view="pageBreakPreview" topLeftCell="F7" zoomScale="86" zoomScaleNormal="100" zoomScaleSheetLayoutView="86" workbookViewId="0">
      <selection activeCell="G6" sqref="G6"/>
    </sheetView>
  </sheetViews>
  <sheetFormatPr defaultColWidth="28" defaultRowHeight="24.95" customHeight="1"/>
  <cols>
    <col min="1" max="1" width="14" style="1" bestFit="1" customWidth="1"/>
    <col min="2" max="2" width="9.7109375" style="1" bestFit="1" customWidth="1"/>
    <col min="3" max="4" width="13.42578125" style="1" bestFit="1" customWidth="1"/>
    <col min="5" max="5" width="39" style="1" bestFit="1" customWidth="1"/>
    <col min="6" max="6" width="10.7109375" style="1" bestFit="1" customWidth="1"/>
    <col min="7" max="7" width="17.5703125" style="1" bestFit="1" customWidth="1"/>
    <col min="8" max="8" width="14.42578125" style="1" bestFit="1" customWidth="1"/>
    <col min="9" max="9" width="10" style="1" bestFit="1" customWidth="1"/>
    <col min="10" max="10" width="11.140625" style="1" bestFit="1" customWidth="1"/>
    <col min="11" max="11" width="14.140625" style="1" customWidth="1"/>
    <col min="12" max="12" width="20.140625" style="1" bestFit="1" customWidth="1"/>
    <col min="13" max="13" width="24.140625" style="1" bestFit="1" customWidth="1"/>
    <col min="14" max="14" width="24.85546875" style="1" customWidth="1"/>
    <col min="15" max="15" width="25.42578125" style="1" bestFit="1" customWidth="1"/>
    <col min="16" max="16" width="24.42578125" style="1" bestFit="1" customWidth="1"/>
    <col min="17" max="17" width="10.140625" style="1" customWidth="1"/>
    <col min="18" max="18" width="13.7109375" style="1" customWidth="1"/>
    <col min="19" max="19" width="12.7109375" style="1" customWidth="1"/>
    <col min="20" max="16384" width="28" style="1"/>
  </cols>
  <sheetData>
    <row r="1" spans="1:18" ht="24.95" customHeight="1" thickBot="1">
      <c r="A1" s="124" t="s">
        <v>379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6"/>
    </row>
    <row r="2" spans="1:18" ht="24.95" customHeight="1" thickBot="1">
      <c r="A2" s="124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6"/>
    </row>
    <row r="3" spans="1:18" ht="24.95" customHeight="1">
      <c r="A3" s="2"/>
      <c r="B3" s="3" t="s">
        <v>1</v>
      </c>
      <c r="C3" s="4" t="s">
        <v>2</v>
      </c>
      <c r="D3" s="4" t="s">
        <v>3</v>
      </c>
      <c r="E3" s="3" t="s">
        <v>4</v>
      </c>
      <c r="F3" s="3" t="s">
        <v>5</v>
      </c>
      <c r="G3" s="5" t="s">
        <v>6</v>
      </c>
      <c r="H3" s="3"/>
      <c r="I3" s="3" t="s">
        <v>7</v>
      </c>
      <c r="J3" s="6" t="s">
        <v>8</v>
      </c>
      <c r="K3" s="7"/>
      <c r="L3" s="3" t="s">
        <v>9</v>
      </c>
      <c r="M3" s="3" t="s">
        <v>10</v>
      </c>
      <c r="N3" s="3" t="s">
        <v>11</v>
      </c>
      <c r="O3" s="8" t="s">
        <v>12</v>
      </c>
      <c r="P3" s="9"/>
    </row>
    <row r="4" spans="1:18" ht="24.95" customHeight="1">
      <c r="A4" s="10" t="s">
        <v>13</v>
      </c>
      <c r="B4" s="3" t="s">
        <v>14</v>
      </c>
      <c r="C4" s="4" t="s">
        <v>15</v>
      </c>
      <c r="D4" s="4" t="s">
        <v>3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6" t="s">
        <v>21</v>
      </c>
      <c r="K4" s="7" t="s">
        <v>22</v>
      </c>
      <c r="L4" s="3" t="s">
        <v>23</v>
      </c>
      <c r="M4" s="3" t="s">
        <v>24</v>
      </c>
      <c r="N4" s="3" t="s">
        <v>25</v>
      </c>
      <c r="O4" s="8" t="s">
        <v>26</v>
      </c>
      <c r="P4" s="11" t="s">
        <v>27</v>
      </c>
    </row>
    <row r="5" spans="1:18" s="19" customFormat="1" ht="24.95" customHeight="1">
      <c r="A5" s="129" t="s">
        <v>172</v>
      </c>
      <c r="B5" s="12" t="s">
        <v>231</v>
      </c>
      <c r="C5" s="13">
        <v>46006</v>
      </c>
      <c r="D5" s="13">
        <v>46006</v>
      </c>
      <c r="E5" s="12" t="s">
        <v>232</v>
      </c>
      <c r="F5" s="14" t="s">
        <v>233</v>
      </c>
      <c r="G5" s="16" t="s">
        <v>250</v>
      </c>
      <c r="H5" s="16" t="s">
        <v>251</v>
      </c>
      <c r="I5" s="12" t="s">
        <v>234</v>
      </c>
      <c r="J5" s="15">
        <v>3000</v>
      </c>
      <c r="K5" s="12" t="s">
        <v>32</v>
      </c>
      <c r="L5" s="12" t="s">
        <v>235</v>
      </c>
      <c r="M5" s="16" t="s">
        <v>236</v>
      </c>
      <c r="N5" s="16"/>
      <c r="O5" s="13">
        <v>46081</v>
      </c>
      <c r="P5" s="17">
        <v>45835</v>
      </c>
      <c r="Q5" s="18"/>
    </row>
    <row r="6" spans="1:18" s="19" customFormat="1" ht="24.95" customHeight="1" thickBot="1">
      <c r="A6" s="131"/>
      <c r="B6" s="12"/>
      <c r="C6" s="13"/>
      <c r="D6" s="13"/>
      <c r="E6" s="12"/>
      <c r="F6" s="14"/>
      <c r="G6" s="12"/>
      <c r="H6" s="20"/>
      <c r="I6" s="12"/>
      <c r="J6" s="15"/>
      <c r="K6" s="12"/>
      <c r="L6" s="12"/>
      <c r="M6" s="16"/>
      <c r="N6" s="16"/>
      <c r="O6" s="13"/>
      <c r="P6" s="17"/>
      <c r="Q6" s="18"/>
    </row>
    <row r="7" spans="1:18" ht="24.95" customHeight="1" thickBot="1">
      <c r="A7" s="24"/>
      <c r="B7" s="25"/>
      <c r="C7" s="26"/>
      <c r="D7" s="26"/>
      <c r="E7" s="25"/>
      <c r="F7" s="27"/>
      <c r="G7" s="25"/>
      <c r="H7" s="28"/>
      <c r="I7" s="25"/>
      <c r="J7" s="29">
        <v>3000</v>
      </c>
      <c r="K7" s="37"/>
      <c r="L7" s="25"/>
      <c r="M7" s="30"/>
      <c r="N7" s="31"/>
      <c r="O7" s="26"/>
      <c r="P7" s="32"/>
      <c r="Q7" s="18"/>
      <c r="R7" s="19"/>
    </row>
    <row r="8" spans="1:18" ht="24.95" customHeight="1">
      <c r="A8" s="2" t="s">
        <v>13</v>
      </c>
      <c r="B8" s="3" t="s">
        <v>14</v>
      </c>
      <c r="C8" s="4" t="s">
        <v>15</v>
      </c>
      <c r="D8" s="4" t="s">
        <v>3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6" t="s">
        <v>21</v>
      </c>
      <c r="K8" s="7" t="s">
        <v>22</v>
      </c>
      <c r="L8" s="3" t="s">
        <v>23</v>
      </c>
      <c r="M8" s="3" t="s">
        <v>24</v>
      </c>
      <c r="N8" s="3" t="s">
        <v>25</v>
      </c>
      <c r="O8" s="8" t="s">
        <v>26</v>
      </c>
      <c r="P8" s="9" t="s">
        <v>27</v>
      </c>
      <c r="Q8" s="18"/>
      <c r="R8" s="19"/>
    </row>
    <row r="9" spans="1:18" s="19" customFormat="1" ht="24.95" customHeight="1">
      <c r="A9" s="129" t="s">
        <v>239</v>
      </c>
      <c r="B9" s="12" t="s">
        <v>231</v>
      </c>
      <c r="C9" s="13">
        <v>46006</v>
      </c>
      <c r="D9" s="13">
        <v>46006</v>
      </c>
      <c r="E9" s="12" t="s">
        <v>232</v>
      </c>
      <c r="F9" s="14" t="s">
        <v>233</v>
      </c>
      <c r="G9" s="16" t="s">
        <v>250</v>
      </c>
      <c r="H9" s="16" t="s">
        <v>251</v>
      </c>
      <c r="I9" s="12" t="s">
        <v>234</v>
      </c>
      <c r="J9" s="15">
        <v>27051</v>
      </c>
      <c r="K9" s="12" t="s">
        <v>32</v>
      </c>
      <c r="L9" s="12" t="s">
        <v>235</v>
      </c>
      <c r="M9" s="16" t="s">
        <v>236</v>
      </c>
      <c r="N9" s="16"/>
      <c r="O9" s="13">
        <v>46081</v>
      </c>
      <c r="P9" s="17">
        <v>45835</v>
      </c>
      <c r="Q9" s="18"/>
    </row>
    <row r="10" spans="1:18" s="19" customFormat="1" ht="24.95" customHeight="1" thickBot="1">
      <c r="A10" s="131"/>
      <c r="B10" s="12"/>
      <c r="C10" s="13"/>
      <c r="D10" s="13"/>
      <c r="E10" s="12"/>
      <c r="F10" s="14"/>
      <c r="G10" s="12"/>
      <c r="H10" s="20"/>
      <c r="I10" s="12"/>
      <c r="J10" s="15"/>
      <c r="K10" s="12"/>
      <c r="L10" s="12"/>
      <c r="M10" s="16"/>
      <c r="N10" s="16"/>
      <c r="O10" s="13"/>
      <c r="P10" s="17"/>
      <c r="Q10" s="18"/>
    </row>
    <row r="11" spans="1:18" ht="24.95" customHeight="1" thickBot="1">
      <c r="A11" s="24"/>
      <c r="B11" s="25"/>
      <c r="C11" s="26"/>
      <c r="D11" s="26"/>
      <c r="E11" s="25"/>
      <c r="F11" s="27"/>
      <c r="G11" s="25"/>
      <c r="H11" s="28"/>
      <c r="I11" s="25"/>
      <c r="J11" s="29">
        <v>27051</v>
      </c>
      <c r="K11" s="37"/>
      <c r="L11" s="25"/>
      <c r="M11" s="30"/>
      <c r="N11" s="31"/>
      <c r="O11" s="26"/>
      <c r="P11" s="32"/>
      <c r="Q11" s="18"/>
      <c r="R11" s="19"/>
    </row>
    <row r="12" spans="1:18" ht="24.95" customHeight="1">
      <c r="A12" s="2" t="s">
        <v>13</v>
      </c>
      <c r="B12" s="3" t="s">
        <v>14</v>
      </c>
      <c r="C12" s="4" t="s">
        <v>15</v>
      </c>
      <c r="D12" s="4" t="s">
        <v>3</v>
      </c>
      <c r="E12" s="3" t="s">
        <v>16</v>
      </c>
      <c r="F12" s="3" t="s">
        <v>17</v>
      </c>
      <c r="G12" s="3" t="s">
        <v>18</v>
      </c>
      <c r="H12" s="3" t="s">
        <v>19</v>
      </c>
      <c r="I12" s="3" t="s">
        <v>20</v>
      </c>
      <c r="J12" s="6" t="s">
        <v>21</v>
      </c>
      <c r="K12" s="7" t="s">
        <v>22</v>
      </c>
      <c r="L12" s="3" t="s">
        <v>23</v>
      </c>
      <c r="M12" s="3" t="s">
        <v>24</v>
      </c>
      <c r="N12" s="3" t="s">
        <v>25</v>
      </c>
      <c r="O12" s="8" t="s">
        <v>26</v>
      </c>
      <c r="P12" s="9" t="s">
        <v>27</v>
      </c>
      <c r="Q12" s="18"/>
      <c r="R12" s="19"/>
    </row>
    <row r="13" spans="1:18" s="19" customFormat="1" ht="24.95" customHeight="1">
      <c r="A13" s="129" t="s">
        <v>240</v>
      </c>
      <c r="B13" s="20" t="s">
        <v>231</v>
      </c>
      <c r="C13" s="21">
        <v>46014</v>
      </c>
      <c r="D13" s="21">
        <v>46014</v>
      </c>
      <c r="E13" s="20" t="s">
        <v>232</v>
      </c>
      <c r="F13" s="22" t="s">
        <v>233</v>
      </c>
      <c r="G13" s="20" t="s">
        <v>241</v>
      </c>
      <c r="H13" s="20" t="s">
        <v>242</v>
      </c>
      <c r="I13" s="20" t="s">
        <v>243</v>
      </c>
      <c r="J13" s="15">
        <v>565</v>
      </c>
      <c r="K13" s="20" t="s">
        <v>56</v>
      </c>
      <c r="L13" s="20" t="s">
        <v>42</v>
      </c>
      <c r="M13" s="33"/>
      <c r="N13" s="21"/>
      <c r="O13" s="21">
        <v>46014</v>
      </c>
      <c r="P13" s="54">
        <v>45884</v>
      </c>
      <c r="Q13" s="18"/>
    </row>
    <row r="14" spans="1:18" s="19" customFormat="1" ht="24.95" customHeight="1">
      <c r="A14" s="130"/>
      <c r="B14" s="20" t="s">
        <v>231</v>
      </c>
      <c r="C14" s="21">
        <v>46021</v>
      </c>
      <c r="D14" s="21">
        <v>46022</v>
      </c>
      <c r="E14" s="20" t="s">
        <v>232</v>
      </c>
      <c r="F14" s="22" t="s">
        <v>233</v>
      </c>
      <c r="G14" s="20" t="s">
        <v>244</v>
      </c>
      <c r="H14" s="20" t="s">
        <v>245</v>
      </c>
      <c r="I14" s="20" t="s">
        <v>246</v>
      </c>
      <c r="J14" s="15">
        <v>153</v>
      </c>
      <c r="K14" s="20" t="s">
        <v>32</v>
      </c>
      <c r="L14" s="20" t="s">
        <v>84</v>
      </c>
      <c r="M14" s="33"/>
      <c r="N14" s="33"/>
      <c r="O14" s="21">
        <v>46068</v>
      </c>
      <c r="P14" s="54">
        <v>45842</v>
      </c>
      <c r="Q14" s="18"/>
    </row>
    <row r="15" spans="1:18" s="19" customFormat="1" ht="24.95" customHeight="1">
      <c r="A15" s="130"/>
      <c r="B15" s="20" t="s">
        <v>231</v>
      </c>
      <c r="C15" s="21">
        <v>46022</v>
      </c>
      <c r="D15" s="21">
        <v>46022</v>
      </c>
      <c r="E15" s="20" t="s">
        <v>232</v>
      </c>
      <c r="F15" s="22" t="s">
        <v>233</v>
      </c>
      <c r="G15" s="20" t="s">
        <v>274</v>
      </c>
      <c r="H15" s="20" t="s">
        <v>275</v>
      </c>
      <c r="I15" s="20" t="s">
        <v>234</v>
      </c>
      <c r="J15" s="15">
        <v>17334</v>
      </c>
      <c r="K15" s="20" t="s">
        <v>102</v>
      </c>
      <c r="L15" s="20" t="s">
        <v>235</v>
      </c>
      <c r="M15" s="33"/>
      <c r="N15" s="21"/>
      <c r="O15" s="21">
        <v>46022</v>
      </c>
      <c r="P15" s="54">
        <v>45916</v>
      </c>
      <c r="Q15" s="18"/>
    </row>
    <row r="16" spans="1:18" s="19" customFormat="1" ht="48" thickBot="1">
      <c r="A16" s="130"/>
      <c r="B16" s="119" t="s">
        <v>365</v>
      </c>
      <c r="C16" s="118">
        <v>46022</v>
      </c>
      <c r="D16" s="118">
        <v>46022</v>
      </c>
      <c r="E16" s="117" t="s">
        <v>356</v>
      </c>
      <c r="F16" s="120" t="s">
        <v>361</v>
      </c>
      <c r="G16" s="117" t="s">
        <v>380</v>
      </c>
      <c r="H16" s="117" t="s">
        <v>381</v>
      </c>
      <c r="I16" s="117" t="s">
        <v>358</v>
      </c>
      <c r="J16" s="41">
        <v>15140</v>
      </c>
      <c r="K16" s="117" t="s">
        <v>32</v>
      </c>
      <c r="L16" s="117" t="s">
        <v>235</v>
      </c>
      <c r="M16" s="38" t="s">
        <v>383</v>
      </c>
      <c r="N16" s="121" t="s">
        <v>382</v>
      </c>
      <c r="O16" s="122">
        <v>46081</v>
      </c>
      <c r="P16" s="123">
        <v>45835</v>
      </c>
      <c r="Q16" s="18"/>
    </row>
    <row r="17" spans="1:18" ht="24.95" customHeight="1" thickBot="1">
      <c r="A17" s="24"/>
      <c r="B17" s="25"/>
      <c r="C17" s="26"/>
      <c r="D17" s="26"/>
      <c r="E17" s="25"/>
      <c r="F17" s="27"/>
      <c r="G17" s="25"/>
      <c r="H17" s="28"/>
      <c r="I17" s="25"/>
      <c r="J17" s="29">
        <v>33192</v>
      </c>
      <c r="K17" s="37"/>
      <c r="L17" s="25"/>
      <c r="M17" s="30"/>
      <c r="N17" s="31"/>
      <c r="O17" s="26"/>
      <c r="P17" s="32"/>
      <c r="Q17" s="18"/>
      <c r="R17" s="19"/>
    </row>
    <row r="18" spans="1:18" s="19" customFormat="1" ht="24.95" customHeight="1" thickBot="1">
      <c r="A18" s="59"/>
      <c r="B18" s="25"/>
      <c r="C18" s="26"/>
      <c r="D18" s="26"/>
      <c r="E18" s="25"/>
      <c r="F18" s="27"/>
      <c r="G18" s="60"/>
      <c r="H18" s="135" t="s">
        <v>391</v>
      </c>
      <c r="I18" s="136"/>
      <c r="J18" s="136"/>
      <c r="K18" s="136"/>
      <c r="L18" s="137"/>
      <c r="M18" s="61"/>
      <c r="N18" s="62"/>
      <c r="O18" s="62"/>
      <c r="P18" s="63"/>
    </row>
    <row r="19" spans="1:18" ht="24.95" customHeight="1">
      <c r="A19" s="68" t="s">
        <v>209</v>
      </c>
      <c r="B19" s="69"/>
      <c r="C19" s="64">
        <v>45984</v>
      </c>
      <c r="D19" s="64">
        <v>45985</v>
      </c>
      <c r="E19" s="64">
        <v>45986</v>
      </c>
      <c r="F19" s="64">
        <v>45987</v>
      </c>
      <c r="G19" s="64">
        <v>45988</v>
      </c>
      <c r="H19" s="64">
        <v>45989</v>
      </c>
      <c r="I19" s="64">
        <v>45990</v>
      </c>
      <c r="J19" s="64">
        <v>45991</v>
      </c>
      <c r="K19" s="64">
        <v>45992</v>
      </c>
      <c r="L19" s="64">
        <v>45993</v>
      </c>
      <c r="M19" s="64">
        <v>45994</v>
      </c>
      <c r="N19" s="64">
        <v>45995</v>
      </c>
      <c r="O19" s="64">
        <v>45996</v>
      </c>
      <c r="P19" s="65">
        <v>45997</v>
      </c>
    </row>
    <row r="20" spans="1:18" ht="24.95" customHeight="1">
      <c r="A20" s="66" t="s">
        <v>210</v>
      </c>
      <c r="B20" s="67"/>
      <c r="C20" s="67"/>
      <c r="D20" s="16"/>
      <c r="E20" s="16"/>
      <c r="F20" s="16">
        <v>110</v>
      </c>
      <c r="G20" s="16">
        <v>220</v>
      </c>
      <c r="H20" s="16">
        <v>330</v>
      </c>
      <c r="I20" s="16">
        <v>440</v>
      </c>
      <c r="J20" s="67"/>
      <c r="K20" s="16">
        <v>550</v>
      </c>
      <c r="L20" s="16">
        <v>550</v>
      </c>
      <c r="M20" s="16">
        <v>550</v>
      </c>
      <c r="N20" s="16">
        <v>550</v>
      </c>
      <c r="O20" s="16">
        <v>550</v>
      </c>
      <c r="P20" s="70">
        <v>550</v>
      </c>
    </row>
    <row r="21" spans="1:18" ht="24.95" customHeight="1">
      <c r="A21" s="66" t="s">
        <v>211</v>
      </c>
      <c r="B21" s="67"/>
      <c r="C21" s="67"/>
      <c r="D21" s="16"/>
      <c r="E21" s="16"/>
      <c r="F21" s="16">
        <v>110</v>
      </c>
      <c r="G21" s="16">
        <v>220</v>
      </c>
      <c r="H21" s="16">
        <v>330</v>
      </c>
      <c r="I21" s="16">
        <v>440</v>
      </c>
      <c r="J21" s="67"/>
      <c r="K21" s="16">
        <v>550</v>
      </c>
      <c r="L21" s="16">
        <v>550</v>
      </c>
      <c r="M21" s="16">
        <v>550</v>
      </c>
      <c r="N21" s="16">
        <v>550</v>
      </c>
      <c r="O21" s="16">
        <v>550</v>
      </c>
      <c r="P21" s="70">
        <v>550</v>
      </c>
    </row>
    <row r="22" spans="1:18" ht="24.95" customHeight="1">
      <c r="A22" s="66" t="s">
        <v>212</v>
      </c>
      <c r="B22" s="67"/>
      <c r="C22" s="67"/>
      <c r="D22" s="16"/>
      <c r="E22" s="16"/>
      <c r="F22" s="16">
        <v>110</v>
      </c>
      <c r="G22" s="16">
        <v>220</v>
      </c>
      <c r="H22" s="16">
        <v>330</v>
      </c>
      <c r="I22" s="16">
        <v>440</v>
      </c>
      <c r="J22" s="67"/>
      <c r="K22" s="16">
        <v>550</v>
      </c>
      <c r="L22" s="16">
        <v>550</v>
      </c>
      <c r="M22" s="16">
        <v>550</v>
      </c>
      <c r="N22" s="16">
        <v>550</v>
      </c>
      <c r="O22" s="16">
        <v>550</v>
      </c>
      <c r="P22" s="70">
        <v>550</v>
      </c>
    </row>
    <row r="23" spans="1:18" ht="24.95" customHeight="1">
      <c r="A23" s="66" t="s">
        <v>272</v>
      </c>
      <c r="B23" s="67"/>
      <c r="C23" s="73"/>
      <c r="D23" s="16"/>
      <c r="E23" s="16"/>
      <c r="F23" s="16"/>
      <c r="G23" s="16"/>
      <c r="H23" s="16"/>
      <c r="I23" s="16"/>
      <c r="J23" s="67"/>
      <c r="K23" s="16">
        <v>550</v>
      </c>
      <c r="L23" s="16">
        <v>550</v>
      </c>
      <c r="M23" s="16">
        <v>550</v>
      </c>
      <c r="N23" s="16">
        <v>550</v>
      </c>
      <c r="O23" s="16">
        <v>550</v>
      </c>
      <c r="P23" s="70">
        <v>550</v>
      </c>
    </row>
    <row r="24" spans="1:18" ht="24.95" customHeight="1">
      <c r="A24" s="66" t="s">
        <v>273</v>
      </c>
      <c r="B24" s="67"/>
      <c r="C24" s="73"/>
      <c r="D24" s="16"/>
      <c r="E24" s="16"/>
      <c r="F24" s="16"/>
      <c r="G24" s="16"/>
      <c r="H24" s="16"/>
      <c r="I24" s="16"/>
      <c r="J24" s="67"/>
      <c r="K24" s="16">
        <v>550</v>
      </c>
      <c r="L24" s="16">
        <v>550</v>
      </c>
      <c r="M24" s="16">
        <v>550</v>
      </c>
      <c r="N24" s="16">
        <v>550</v>
      </c>
      <c r="O24" s="16">
        <v>550</v>
      </c>
      <c r="P24" s="70">
        <v>550</v>
      </c>
    </row>
    <row r="25" spans="1:18" ht="24.95" customHeight="1">
      <c r="A25" s="66" t="s">
        <v>247</v>
      </c>
      <c r="B25" s="67"/>
      <c r="C25" s="73"/>
      <c r="D25" s="16"/>
      <c r="E25" s="16"/>
      <c r="F25" s="16"/>
      <c r="G25" s="16"/>
      <c r="H25" s="16"/>
      <c r="I25" s="16"/>
      <c r="J25" s="67"/>
      <c r="K25" s="16">
        <v>550</v>
      </c>
      <c r="L25" s="16">
        <v>550</v>
      </c>
      <c r="M25" s="16">
        <v>550</v>
      </c>
      <c r="N25" s="16">
        <v>550</v>
      </c>
      <c r="O25" s="16">
        <v>550</v>
      </c>
      <c r="P25" s="70">
        <v>550</v>
      </c>
    </row>
    <row r="26" spans="1:18" ht="24.95" customHeight="1">
      <c r="A26" s="66" t="s">
        <v>248</v>
      </c>
      <c r="B26" s="67"/>
      <c r="C26" s="73"/>
      <c r="D26" s="16"/>
      <c r="E26" s="16"/>
      <c r="F26" s="16"/>
      <c r="G26" s="16"/>
      <c r="H26" s="16"/>
      <c r="I26" s="16"/>
      <c r="J26" s="67"/>
      <c r="K26" s="16">
        <v>550</v>
      </c>
      <c r="L26" s="16">
        <v>550</v>
      </c>
      <c r="M26" s="16">
        <v>550</v>
      </c>
      <c r="N26" s="16">
        <v>550</v>
      </c>
      <c r="O26" s="16">
        <v>550</v>
      </c>
      <c r="P26" s="70">
        <v>550</v>
      </c>
    </row>
    <row r="27" spans="1:18" ht="24.95" customHeight="1">
      <c r="A27" s="66" t="s">
        <v>362</v>
      </c>
      <c r="B27" s="67"/>
      <c r="C27" s="73"/>
      <c r="D27" s="16"/>
      <c r="E27" s="16"/>
      <c r="F27" s="16"/>
      <c r="G27" s="16"/>
      <c r="H27" s="16"/>
      <c r="I27" s="16"/>
      <c r="J27" s="67"/>
      <c r="K27" s="16">
        <v>550</v>
      </c>
      <c r="L27" s="16">
        <v>550</v>
      </c>
      <c r="M27" s="16">
        <v>550</v>
      </c>
      <c r="N27" s="16">
        <v>550</v>
      </c>
      <c r="O27" s="16">
        <v>550</v>
      </c>
      <c r="P27" s="70">
        <v>550</v>
      </c>
    </row>
    <row r="28" spans="1:18" ht="24.95" customHeight="1">
      <c r="A28" s="66" t="s">
        <v>237</v>
      </c>
      <c r="B28" s="67"/>
      <c r="C28" s="73"/>
      <c r="D28" s="74"/>
      <c r="E28" s="74"/>
      <c r="F28" s="74"/>
      <c r="G28" s="74"/>
      <c r="H28" s="74"/>
      <c r="I28" s="74"/>
      <c r="J28" s="73"/>
      <c r="K28" s="16">
        <v>550</v>
      </c>
      <c r="L28" s="16">
        <v>550</v>
      </c>
      <c r="M28" s="16">
        <v>550</v>
      </c>
      <c r="N28" s="16">
        <v>550</v>
      </c>
      <c r="O28" s="16">
        <v>550</v>
      </c>
      <c r="P28" s="70">
        <v>550</v>
      </c>
    </row>
    <row r="29" spans="1:18" ht="24.95" customHeight="1">
      <c r="A29" s="66" t="s">
        <v>238</v>
      </c>
      <c r="B29" s="67"/>
      <c r="C29" s="73"/>
      <c r="D29" s="74"/>
      <c r="E29" s="74"/>
      <c r="F29" s="74"/>
      <c r="G29" s="74"/>
      <c r="H29" s="74"/>
      <c r="I29" s="74"/>
      <c r="J29" s="73"/>
      <c r="K29" s="16">
        <v>550</v>
      </c>
      <c r="L29" s="16">
        <v>550</v>
      </c>
      <c r="M29" s="16">
        <v>550</v>
      </c>
      <c r="N29" s="16">
        <v>550</v>
      </c>
      <c r="O29" s="16">
        <v>550</v>
      </c>
      <c r="P29" s="70">
        <v>550</v>
      </c>
    </row>
    <row r="30" spans="1:18" ht="24.95" customHeight="1">
      <c r="A30" s="68" t="s">
        <v>209</v>
      </c>
      <c r="B30" s="69"/>
      <c r="C30" s="64">
        <v>45998</v>
      </c>
      <c r="D30" s="64">
        <v>45999</v>
      </c>
      <c r="E30" s="64">
        <v>46000</v>
      </c>
      <c r="F30" s="64">
        <v>46001</v>
      </c>
      <c r="G30" s="64">
        <v>46002</v>
      </c>
      <c r="H30" s="64">
        <v>46003</v>
      </c>
      <c r="I30" s="64">
        <v>46004</v>
      </c>
      <c r="J30" s="64">
        <v>46005</v>
      </c>
      <c r="K30" s="64">
        <v>46006</v>
      </c>
      <c r="L30" s="64">
        <v>46007</v>
      </c>
      <c r="M30" s="64">
        <v>46008</v>
      </c>
      <c r="N30" s="64">
        <v>46009</v>
      </c>
      <c r="O30" s="64">
        <v>46010</v>
      </c>
      <c r="P30" s="65" t="s">
        <v>213</v>
      </c>
    </row>
    <row r="31" spans="1:18" ht="24.95" customHeight="1">
      <c r="A31" s="66" t="s">
        <v>210</v>
      </c>
      <c r="B31" s="67"/>
      <c r="C31" s="67"/>
      <c r="D31" s="16">
        <v>550</v>
      </c>
      <c r="E31" s="16">
        <v>550</v>
      </c>
      <c r="F31" s="16">
        <v>550</v>
      </c>
      <c r="G31" s="16">
        <v>440</v>
      </c>
      <c r="H31" s="16">
        <v>550</v>
      </c>
      <c r="I31" s="16">
        <v>55</v>
      </c>
      <c r="J31" s="67"/>
      <c r="K31" s="16"/>
      <c r="L31" s="16"/>
      <c r="M31" s="16"/>
      <c r="N31" s="16"/>
      <c r="O31" s="16"/>
      <c r="P31" s="82">
        <v>7095</v>
      </c>
    </row>
    <row r="32" spans="1:18" ht="24.95" customHeight="1">
      <c r="A32" s="66" t="s">
        <v>211</v>
      </c>
      <c r="B32" s="67"/>
      <c r="C32" s="67"/>
      <c r="D32" s="16">
        <v>550</v>
      </c>
      <c r="E32" s="16">
        <v>550</v>
      </c>
      <c r="F32" s="16">
        <v>550</v>
      </c>
      <c r="G32" s="16">
        <v>440</v>
      </c>
      <c r="H32" s="16">
        <v>550</v>
      </c>
      <c r="I32" s="16">
        <v>55</v>
      </c>
      <c r="J32" s="67"/>
      <c r="K32" s="16"/>
      <c r="L32" s="16"/>
      <c r="M32" s="16"/>
      <c r="N32" s="16"/>
      <c r="O32" s="16"/>
      <c r="P32" s="82">
        <v>7095</v>
      </c>
    </row>
    <row r="33" spans="1:16" ht="24.95" customHeight="1">
      <c r="A33" s="66" t="s">
        <v>212</v>
      </c>
      <c r="B33" s="67"/>
      <c r="C33" s="67"/>
      <c r="D33" s="16">
        <v>550</v>
      </c>
      <c r="E33" s="16">
        <v>550</v>
      </c>
      <c r="F33" s="16">
        <v>550</v>
      </c>
      <c r="G33" s="16">
        <v>440</v>
      </c>
      <c r="H33" s="16">
        <v>550</v>
      </c>
      <c r="I33" s="16">
        <v>55</v>
      </c>
      <c r="J33" s="67"/>
      <c r="K33" s="16"/>
      <c r="L33" s="16"/>
      <c r="M33" s="16"/>
      <c r="N33" s="16"/>
      <c r="O33" s="16"/>
      <c r="P33" s="82">
        <v>7095</v>
      </c>
    </row>
    <row r="34" spans="1:16" ht="24.95" customHeight="1">
      <c r="A34" s="66" t="s">
        <v>272</v>
      </c>
      <c r="B34" s="67"/>
      <c r="C34" s="67"/>
      <c r="D34" s="16">
        <v>550</v>
      </c>
      <c r="E34" s="16">
        <v>550</v>
      </c>
      <c r="F34" s="16">
        <v>550</v>
      </c>
      <c r="G34" s="16">
        <v>440</v>
      </c>
      <c r="H34" s="16">
        <v>550</v>
      </c>
      <c r="I34" s="16">
        <v>54</v>
      </c>
      <c r="J34" s="67"/>
      <c r="K34" s="16"/>
      <c r="L34" s="16"/>
      <c r="M34" s="16"/>
      <c r="N34" s="16"/>
      <c r="O34" s="16"/>
      <c r="P34" s="82">
        <v>5994</v>
      </c>
    </row>
    <row r="35" spans="1:16" ht="24.95" customHeight="1">
      <c r="A35" s="66" t="s">
        <v>273</v>
      </c>
      <c r="B35" s="67"/>
      <c r="C35" s="67"/>
      <c r="D35" s="16">
        <v>550</v>
      </c>
      <c r="E35" s="16">
        <v>550</v>
      </c>
      <c r="F35" s="16">
        <v>550</v>
      </c>
      <c r="G35" s="16">
        <v>440</v>
      </c>
      <c r="H35" s="16">
        <v>550</v>
      </c>
      <c r="I35" s="16">
        <v>54</v>
      </c>
      <c r="J35" s="67"/>
      <c r="K35" s="16"/>
      <c r="L35" s="16"/>
      <c r="M35" s="16"/>
      <c r="N35" s="16"/>
      <c r="O35" s="16"/>
      <c r="P35" s="82">
        <v>5994</v>
      </c>
    </row>
    <row r="36" spans="1:16" ht="24.95" customHeight="1">
      <c r="A36" s="66" t="s">
        <v>247</v>
      </c>
      <c r="B36" s="67"/>
      <c r="C36" s="67"/>
      <c r="D36" s="16">
        <v>550</v>
      </c>
      <c r="E36" s="16">
        <v>550</v>
      </c>
      <c r="F36" s="16">
        <v>550</v>
      </c>
      <c r="G36" s="16">
        <v>440</v>
      </c>
      <c r="H36" s="16">
        <v>550</v>
      </c>
      <c r="I36" s="16">
        <v>54</v>
      </c>
      <c r="J36" s="67"/>
      <c r="K36" s="16"/>
      <c r="L36" s="16"/>
      <c r="M36" s="16"/>
      <c r="N36" s="16"/>
      <c r="O36" s="16"/>
      <c r="P36" s="82">
        <v>5994</v>
      </c>
    </row>
    <row r="37" spans="1:16" ht="24.95" customHeight="1">
      <c r="A37" s="66" t="s">
        <v>248</v>
      </c>
      <c r="B37" s="67"/>
      <c r="C37" s="67"/>
      <c r="D37" s="16">
        <v>550</v>
      </c>
      <c r="E37" s="16">
        <v>550</v>
      </c>
      <c r="F37" s="16">
        <v>550</v>
      </c>
      <c r="G37" s="16">
        <v>440</v>
      </c>
      <c r="H37" s="16">
        <v>550</v>
      </c>
      <c r="I37" s="16">
        <v>54</v>
      </c>
      <c r="J37" s="67"/>
      <c r="K37" s="16"/>
      <c r="L37" s="16"/>
      <c r="M37" s="16"/>
      <c r="N37" s="16"/>
      <c r="O37" s="16"/>
      <c r="P37" s="82">
        <v>5994</v>
      </c>
    </row>
    <row r="38" spans="1:16" ht="24.95" customHeight="1">
      <c r="A38" s="66" t="s">
        <v>362</v>
      </c>
      <c r="B38" s="67"/>
      <c r="C38" s="67"/>
      <c r="D38" s="16">
        <v>550</v>
      </c>
      <c r="E38" s="16">
        <v>550</v>
      </c>
      <c r="F38" s="16">
        <v>550</v>
      </c>
      <c r="G38" s="16">
        <v>440</v>
      </c>
      <c r="H38" s="16">
        <v>550</v>
      </c>
      <c r="I38" s="16">
        <v>54</v>
      </c>
      <c r="J38" s="67"/>
      <c r="K38" s="16"/>
      <c r="L38" s="16"/>
      <c r="M38" s="16"/>
      <c r="N38" s="16"/>
      <c r="O38" s="16"/>
      <c r="P38" s="82">
        <v>5994</v>
      </c>
    </row>
    <row r="39" spans="1:16" ht="24.95" customHeight="1">
      <c r="A39" s="66" t="s">
        <v>237</v>
      </c>
      <c r="B39" s="67"/>
      <c r="C39" s="67"/>
      <c r="D39" s="16">
        <v>550</v>
      </c>
      <c r="E39" s="16">
        <v>550</v>
      </c>
      <c r="F39" s="16">
        <v>550</v>
      </c>
      <c r="G39" s="16">
        <v>440</v>
      </c>
      <c r="H39" s="16">
        <v>550</v>
      </c>
      <c r="I39" s="16">
        <v>54</v>
      </c>
      <c r="J39" s="67"/>
      <c r="K39" s="16"/>
      <c r="L39" s="16"/>
      <c r="M39" s="16"/>
      <c r="N39" s="16"/>
      <c r="O39" s="16"/>
      <c r="P39" s="82">
        <v>5994</v>
      </c>
    </row>
    <row r="40" spans="1:16" ht="24.95" customHeight="1">
      <c r="A40" s="66" t="s">
        <v>238</v>
      </c>
      <c r="B40" s="67"/>
      <c r="C40" s="67"/>
      <c r="D40" s="16">
        <v>550</v>
      </c>
      <c r="E40" s="16">
        <v>550</v>
      </c>
      <c r="F40" s="16">
        <v>550</v>
      </c>
      <c r="G40" s="16">
        <v>440</v>
      </c>
      <c r="H40" s="16">
        <v>550</v>
      </c>
      <c r="I40" s="16">
        <v>54</v>
      </c>
      <c r="J40" s="67"/>
      <c r="K40" s="16"/>
      <c r="L40" s="16"/>
      <c r="M40" s="16"/>
      <c r="N40" s="16"/>
      <c r="O40" s="16"/>
      <c r="P40" s="82">
        <v>5994</v>
      </c>
    </row>
    <row r="41" spans="1:16" ht="24.95" customHeight="1">
      <c r="A41" s="138" t="s">
        <v>214</v>
      </c>
      <c r="B41" s="139"/>
      <c r="C41" s="139"/>
      <c r="D41" s="139"/>
      <c r="E41" s="140"/>
      <c r="F41" s="144" t="s">
        <v>215</v>
      </c>
      <c r="G41" s="145"/>
      <c r="H41" s="145"/>
      <c r="I41" s="145"/>
      <c r="J41" s="145"/>
      <c r="K41" s="146"/>
      <c r="L41" s="150" t="s">
        <v>216</v>
      </c>
      <c r="M41" s="139"/>
      <c r="N41" s="139"/>
      <c r="O41" s="140"/>
      <c r="P41" s="127">
        <v>63243</v>
      </c>
    </row>
    <row r="42" spans="1:16" ht="24.95" customHeight="1" thickBot="1">
      <c r="A42" s="141"/>
      <c r="B42" s="142"/>
      <c r="C42" s="142"/>
      <c r="D42" s="142"/>
      <c r="E42" s="143"/>
      <c r="F42" s="147"/>
      <c r="G42" s="148"/>
      <c r="H42" s="148"/>
      <c r="I42" s="148"/>
      <c r="J42" s="148"/>
      <c r="K42" s="149"/>
      <c r="L42" s="151"/>
      <c r="M42" s="142"/>
      <c r="N42" s="142"/>
      <c r="O42" s="143"/>
      <c r="P42" s="128"/>
    </row>
    <row r="43" spans="1:16" ht="24.95" customHeight="1">
      <c r="A43" s="19"/>
      <c r="B43" s="19"/>
      <c r="C43" s="19"/>
      <c r="D43" s="19"/>
      <c r="E43" s="19"/>
      <c r="F43" s="72"/>
      <c r="G43" s="72"/>
      <c r="H43" s="72"/>
      <c r="I43" s="72"/>
      <c r="J43" s="72"/>
      <c r="K43" s="72"/>
      <c r="L43" s="19"/>
      <c r="M43" s="19"/>
      <c r="N43" s="19"/>
      <c r="O43" s="19"/>
      <c r="P43" s="19"/>
    </row>
  </sheetData>
  <mergeCells count="10">
    <mergeCell ref="A1:P1"/>
    <mergeCell ref="A2:P2"/>
    <mergeCell ref="A5:A6"/>
    <mergeCell ref="A9:A10"/>
    <mergeCell ref="A13:A16"/>
    <mergeCell ref="H18:L18"/>
    <mergeCell ref="A41:E42"/>
    <mergeCell ref="F41:K42"/>
    <mergeCell ref="L41:O42"/>
    <mergeCell ref="P41:P42"/>
  </mergeCells>
  <printOptions horizontalCentered="1" verticalCentered="1"/>
  <pageMargins left="0" right="0" top="0" bottom="0" header="0" footer="0"/>
  <pageSetup paperSize="9" scale="5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S75"/>
  <sheetViews>
    <sheetView view="pageBreakPreview" topLeftCell="A43" zoomScale="90" zoomScaleNormal="100" zoomScaleSheetLayoutView="90" workbookViewId="0">
      <selection activeCell="A2" sqref="A2:P2"/>
    </sheetView>
  </sheetViews>
  <sheetFormatPr defaultColWidth="10.85546875" defaultRowHeight="38.1" customHeight="1"/>
  <cols>
    <col min="1" max="1" width="13.5703125" style="1" bestFit="1" customWidth="1"/>
    <col min="2" max="2" width="9.7109375" style="1" bestFit="1" customWidth="1"/>
    <col min="3" max="4" width="13" style="1" bestFit="1" customWidth="1"/>
    <col min="5" max="5" width="43.140625" style="1" bestFit="1" customWidth="1"/>
    <col min="6" max="6" width="10.28515625" style="1" bestFit="1" customWidth="1"/>
    <col min="7" max="7" width="17.28515625" style="1" bestFit="1" customWidth="1"/>
    <col min="8" max="8" width="14.28515625" style="1" bestFit="1" customWidth="1"/>
    <col min="9" max="9" width="10" style="1" bestFit="1" customWidth="1"/>
    <col min="10" max="10" width="10.7109375" style="1" bestFit="1" customWidth="1"/>
    <col min="11" max="11" width="14" style="1" bestFit="1" customWidth="1"/>
    <col min="12" max="12" width="19.28515625" style="1" bestFit="1" customWidth="1"/>
    <col min="13" max="13" width="17.85546875" style="1" bestFit="1" customWidth="1"/>
    <col min="14" max="14" width="32.42578125" style="1" bestFit="1" customWidth="1"/>
    <col min="15" max="15" width="13" style="1" bestFit="1" customWidth="1"/>
    <col min="16" max="16" width="18.5703125" style="1" bestFit="1" customWidth="1"/>
    <col min="17" max="17" width="14" style="1" customWidth="1"/>
    <col min="18" max="18" width="14.42578125" style="19" customWidth="1"/>
    <col min="19" max="19" width="14.42578125" style="1" customWidth="1"/>
    <col min="20" max="22" width="11.85546875" style="1" customWidth="1"/>
    <col min="23" max="16384" width="10.85546875" style="1"/>
  </cols>
  <sheetData>
    <row r="1" spans="1:19" ht="38.1" customHeight="1" thickBot="1">
      <c r="A1" s="124" t="s">
        <v>368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6"/>
      <c r="Q1" s="92"/>
    </row>
    <row r="2" spans="1:19" ht="38.1" customHeight="1" thickBot="1">
      <c r="A2" s="124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6"/>
      <c r="Q2" s="92"/>
    </row>
    <row r="3" spans="1:19" ht="38.1" customHeight="1">
      <c r="A3" s="2"/>
      <c r="B3" s="3" t="s">
        <v>1</v>
      </c>
      <c r="C3" s="4" t="s">
        <v>2</v>
      </c>
      <c r="D3" s="4" t="s">
        <v>3</v>
      </c>
      <c r="E3" s="3" t="s">
        <v>4</v>
      </c>
      <c r="F3" s="3" t="s">
        <v>5</v>
      </c>
      <c r="G3" s="3" t="s">
        <v>326</v>
      </c>
      <c r="H3" s="3"/>
      <c r="I3" s="3" t="s">
        <v>7</v>
      </c>
      <c r="J3" s="6" t="s">
        <v>8</v>
      </c>
      <c r="K3" s="7"/>
      <c r="L3" s="3" t="s">
        <v>9</v>
      </c>
      <c r="M3" s="3" t="s">
        <v>10</v>
      </c>
      <c r="N3" s="3" t="s">
        <v>11</v>
      </c>
      <c r="O3" s="8" t="s">
        <v>12</v>
      </c>
      <c r="P3" s="9"/>
      <c r="Q3" s="93"/>
    </row>
    <row r="4" spans="1:19" ht="38.1" customHeight="1">
      <c r="A4" s="10" t="s">
        <v>13</v>
      </c>
      <c r="B4" s="3" t="s">
        <v>14</v>
      </c>
      <c r="C4" s="4" t="s">
        <v>15</v>
      </c>
      <c r="D4" s="4" t="s">
        <v>3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6" t="s">
        <v>21</v>
      </c>
      <c r="K4" s="7" t="s">
        <v>22</v>
      </c>
      <c r="L4" s="3" t="s">
        <v>23</v>
      </c>
      <c r="M4" s="94" t="s">
        <v>24</v>
      </c>
      <c r="N4" s="94" t="s">
        <v>25</v>
      </c>
      <c r="O4" s="8" t="s">
        <v>26</v>
      </c>
      <c r="P4" s="11" t="s">
        <v>27</v>
      </c>
      <c r="Q4" s="93"/>
    </row>
    <row r="5" spans="1:19" s="78" customFormat="1" ht="38.1" customHeight="1">
      <c r="A5" s="152" t="s">
        <v>239</v>
      </c>
      <c r="B5" s="33" t="s">
        <v>231</v>
      </c>
      <c r="C5" s="21">
        <v>45991</v>
      </c>
      <c r="D5" s="21">
        <v>45991</v>
      </c>
      <c r="E5" s="33" t="s">
        <v>279</v>
      </c>
      <c r="F5" s="33" t="s">
        <v>233</v>
      </c>
      <c r="G5" s="33" t="s">
        <v>342</v>
      </c>
      <c r="H5" s="33" t="s">
        <v>343</v>
      </c>
      <c r="I5" s="33" t="s">
        <v>344</v>
      </c>
      <c r="J5" s="33">
        <v>100</v>
      </c>
      <c r="K5" s="33" t="s">
        <v>32</v>
      </c>
      <c r="L5" s="33" t="s">
        <v>48</v>
      </c>
      <c r="M5" s="33"/>
      <c r="N5" s="33"/>
      <c r="O5" s="13">
        <v>46022</v>
      </c>
      <c r="P5" s="17">
        <v>45849</v>
      </c>
      <c r="Q5" s="18"/>
      <c r="R5" s="95"/>
    </row>
    <row r="6" spans="1:19" s="78" customFormat="1" ht="38.1" customHeight="1">
      <c r="A6" s="153"/>
      <c r="B6" s="20" t="s">
        <v>231</v>
      </c>
      <c r="C6" s="21">
        <v>45991</v>
      </c>
      <c r="D6" s="21">
        <v>45991</v>
      </c>
      <c r="E6" s="20" t="s">
        <v>279</v>
      </c>
      <c r="F6" s="20" t="s">
        <v>233</v>
      </c>
      <c r="G6" s="20" t="s">
        <v>347</v>
      </c>
      <c r="H6" s="20" t="s">
        <v>348</v>
      </c>
      <c r="I6" s="20" t="s">
        <v>344</v>
      </c>
      <c r="J6" s="15">
        <v>1520</v>
      </c>
      <c r="K6" s="20" t="s">
        <v>32</v>
      </c>
      <c r="L6" s="20" t="s">
        <v>349</v>
      </c>
      <c r="M6" s="33"/>
      <c r="N6" s="21"/>
      <c r="O6" s="13">
        <v>46022</v>
      </c>
      <c r="P6" s="17">
        <v>45884</v>
      </c>
      <c r="Q6" s="18"/>
      <c r="R6" s="95"/>
    </row>
    <row r="7" spans="1:19" s="78" customFormat="1" ht="38.1" customHeight="1">
      <c r="A7" s="153"/>
      <c r="B7" s="20" t="s">
        <v>231</v>
      </c>
      <c r="C7" s="21">
        <v>45991</v>
      </c>
      <c r="D7" s="21">
        <v>45991</v>
      </c>
      <c r="E7" s="20" t="s">
        <v>279</v>
      </c>
      <c r="F7" s="20" t="s">
        <v>233</v>
      </c>
      <c r="G7" s="20" t="s">
        <v>354</v>
      </c>
      <c r="H7" s="20" t="s">
        <v>355</v>
      </c>
      <c r="I7" s="20" t="s">
        <v>280</v>
      </c>
      <c r="J7" s="15">
        <v>1520</v>
      </c>
      <c r="K7" s="20" t="s">
        <v>32</v>
      </c>
      <c r="L7" s="20" t="s">
        <v>349</v>
      </c>
      <c r="M7" s="33"/>
      <c r="N7" s="21"/>
      <c r="O7" s="13">
        <v>46022</v>
      </c>
      <c r="P7" s="17">
        <v>45884</v>
      </c>
      <c r="Q7" s="18"/>
      <c r="R7" s="95"/>
    </row>
    <row r="8" spans="1:19" s="78" customFormat="1" ht="38.1" customHeight="1">
      <c r="A8" s="153"/>
      <c r="B8" s="20" t="s">
        <v>231</v>
      </c>
      <c r="C8" s="21">
        <v>45991</v>
      </c>
      <c r="D8" s="21">
        <v>45991</v>
      </c>
      <c r="E8" s="20" t="s">
        <v>279</v>
      </c>
      <c r="F8" s="20" t="s">
        <v>233</v>
      </c>
      <c r="G8" s="20" t="s">
        <v>345</v>
      </c>
      <c r="H8" s="20" t="s">
        <v>346</v>
      </c>
      <c r="I8" s="20" t="s">
        <v>280</v>
      </c>
      <c r="J8" s="15">
        <v>691</v>
      </c>
      <c r="K8" s="20" t="s">
        <v>32</v>
      </c>
      <c r="L8" s="20" t="s">
        <v>48</v>
      </c>
      <c r="M8" s="33"/>
      <c r="N8" s="21"/>
      <c r="O8" s="13">
        <v>46022</v>
      </c>
      <c r="P8" s="17">
        <v>45849</v>
      </c>
      <c r="Q8" s="18"/>
      <c r="R8" s="95"/>
    </row>
    <row r="9" spans="1:19" s="78" customFormat="1" ht="38.1" customHeight="1">
      <c r="A9" s="153"/>
      <c r="B9" s="20" t="s">
        <v>231</v>
      </c>
      <c r="C9" s="21">
        <v>45991</v>
      </c>
      <c r="D9" s="21">
        <v>45991</v>
      </c>
      <c r="E9" s="20" t="s">
        <v>279</v>
      </c>
      <c r="F9" s="20" t="s">
        <v>233</v>
      </c>
      <c r="G9" s="20" t="s">
        <v>350</v>
      </c>
      <c r="H9" s="20" t="s">
        <v>351</v>
      </c>
      <c r="I9" s="20" t="s">
        <v>280</v>
      </c>
      <c r="J9" s="15">
        <v>524</v>
      </c>
      <c r="K9" s="20" t="s">
        <v>32</v>
      </c>
      <c r="L9" s="20" t="s">
        <v>84</v>
      </c>
      <c r="M9" s="33"/>
      <c r="N9" s="21"/>
      <c r="O9" s="13">
        <v>46022</v>
      </c>
      <c r="P9" s="17">
        <v>45849</v>
      </c>
      <c r="Q9" s="18"/>
      <c r="R9" s="95"/>
    </row>
    <row r="10" spans="1:19" s="78" customFormat="1" ht="38.1" customHeight="1">
      <c r="A10" s="153"/>
      <c r="B10" s="20" t="s">
        <v>231</v>
      </c>
      <c r="C10" s="21">
        <v>45991</v>
      </c>
      <c r="D10" s="21">
        <v>45991</v>
      </c>
      <c r="E10" s="20" t="s">
        <v>279</v>
      </c>
      <c r="F10" s="20" t="s">
        <v>233</v>
      </c>
      <c r="G10" s="20" t="s">
        <v>352</v>
      </c>
      <c r="H10" s="20" t="s">
        <v>353</v>
      </c>
      <c r="I10" s="20" t="s">
        <v>280</v>
      </c>
      <c r="J10" s="15">
        <v>315</v>
      </c>
      <c r="K10" s="20" t="s">
        <v>32</v>
      </c>
      <c r="L10" s="20" t="s">
        <v>50</v>
      </c>
      <c r="M10" s="33"/>
      <c r="N10" s="21"/>
      <c r="O10" s="13">
        <v>46022</v>
      </c>
      <c r="P10" s="17">
        <v>45849</v>
      </c>
      <c r="Q10" s="18"/>
      <c r="R10" s="95"/>
    </row>
    <row r="11" spans="1:19" s="78" customFormat="1" ht="38.1" customHeight="1" thickBot="1">
      <c r="A11" s="154"/>
      <c r="B11" s="20" t="s">
        <v>231</v>
      </c>
      <c r="C11" s="21">
        <v>45968</v>
      </c>
      <c r="D11" s="21">
        <v>45968</v>
      </c>
      <c r="E11" s="20" t="s">
        <v>268</v>
      </c>
      <c r="F11" s="20" t="s">
        <v>233</v>
      </c>
      <c r="G11" s="20" t="s">
        <v>283</v>
      </c>
      <c r="H11" s="20" t="s">
        <v>284</v>
      </c>
      <c r="I11" s="20" t="s">
        <v>285</v>
      </c>
      <c r="J11" s="15">
        <v>2880</v>
      </c>
      <c r="K11" s="20" t="s">
        <v>41</v>
      </c>
      <c r="L11" s="20" t="s">
        <v>42</v>
      </c>
      <c r="M11" s="33"/>
      <c r="N11" s="21"/>
      <c r="O11" s="13">
        <v>45998</v>
      </c>
      <c r="P11" s="79">
        <v>45835</v>
      </c>
      <c r="Q11" s="18"/>
      <c r="R11" s="95"/>
    </row>
    <row r="12" spans="1:19" ht="38.1" customHeight="1" thickBot="1">
      <c r="A12" s="24"/>
      <c r="B12" s="25"/>
      <c r="C12" s="26"/>
      <c r="D12" s="26"/>
      <c r="E12" s="25"/>
      <c r="F12" s="27"/>
      <c r="G12" s="25"/>
      <c r="H12" s="28"/>
      <c r="I12" s="25"/>
      <c r="J12" s="29">
        <f>SUM(J5:J11)</f>
        <v>7550</v>
      </c>
      <c r="K12" s="25"/>
      <c r="L12" s="25"/>
      <c r="M12" s="30"/>
      <c r="N12" s="31"/>
      <c r="O12" s="26"/>
      <c r="P12" s="32"/>
      <c r="Q12" s="18"/>
      <c r="R12" s="95"/>
      <c r="S12" s="19"/>
    </row>
    <row r="13" spans="1:19" ht="38.1" customHeight="1">
      <c r="A13" s="2" t="s">
        <v>13</v>
      </c>
      <c r="B13" s="3" t="s">
        <v>14</v>
      </c>
      <c r="C13" s="4" t="s">
        <v>15</v>
      </c>
      <c r="D13" s="4" t="s">
        <v>3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6" t="s">
        <v>21</v>
      </c>
      <c r="K13" s="7" t="s">
        <v>22</v>
      </c>
      <c r="L13" s="3" t="s">
        <v>23</v>
      </c>
      <c r="M13" s="3" t="s">
        <v>24</v>
      </c>
      <c r="N13" s="3" t="s">
        <v>25</v>
      </c>
      <c r="O13" s="8" t="s">
        <v>26</v>
      </c>
      <c r="P13" s="9" t="s">
        <v>27</v>
      </c>
      <c r="Q13" s="18"/>
      <c r="R13" s="95"/>
      <c r="S13" s="19"/>
    </row>
    <row r="14" spans="1:19" s="78" customFormat="1" ht="38.1" customHeight="1">
      <c r="A14" s="132" t="s">
        <v>240</v>
      </c>
      <c r="B14" s="20" t="s">
        <v>231</v>
      </c>
      <c r="C14" s="21">
        <v>45968</v>
      </c>
      <c r="D14" s="21">
        <v>45968</v>
      </c>
      <c r="E14" s="20" t="s">
        <v>286</v>
      </c>
      <c r="F14" s="20" t="s">
        <v>233</v>
      </c>
      <c r="G14" s="20" t="s">
        <v>289</v>
      </c>
      <c r="H14" s="20" t="s">
        <v>290</v>
      </c>
      <c r="I14" s="20" t="s">
        <v>285</v>
      </c>
      <c r="J14" s="15">
        <v>3130</v>
      </c>
      <c r="K14" s="20" t="s">
        <v>41</v>
      </c>
      <c r="L14" s="20" t="s">
        <v>42</v>
      </c>
      <c r="M14" s="33"/>
      <c r="N14" s="21"/>
      <c r="O14" s="13">
        <v>45998</v>
      </c>
      <c r="P14" s="79">
        <v>45835</v>
      </c>
      <c r="Q14" s="18"/>
      <c r="R14" s="95"/>
    </row>
    <row r="15" spans="1:19" s="78" customFormat="1" ht="38.1" customHeight="1">
      <c r="A15" s="133"/>
      <c r="B15" s="20" t="s">
        <v>231</v>
      </c>
      <c r="C15" s="21">
        <v>45968</v>
      </c>
      <c r="D15" s="21">
        <v>45968</v>
      </c>
      <c r="E15" s="20" t="s">
        <v>286</v>
      </c>
      <c r="F15" s="20" t="s">
        <v>233</v>
      </c>
      <c r="G15" s="20" t="s">
        <v>287</v>
      </c>
      <c r="H15" s="110" t="s">
        <v>288</v>
      </c>
      <c r="I15" s="20" t="s">
        <v>276</v>
      </c>
      <c r="J15" s="15">
        <v>1020</v>
      </c>
      <c r="K15" s="20" t="s">
        <v>41</v>
      </c>
      <c r="L15" s="20" t="s">
        <v>278</v>
      </c>
      <c r="M15" s="33"/>
      <c r="N15" s="21"/>
      <c r="O15" s="13">
        <v>46006</v>
      </c>
      <c r="P15" s="79">
        <v>45835</v>
      </c>
      <c r="Q15" s="18"/>
      <c r="R15" s="95"/>
    </row>
    <row r="16" spans="1:19" s="78" customFormat="1" ht="38.1" customHeight="1">
      <c r="A16" s="133"/>
      <c r="B16" s="20" t="s">
        <v>231</v>
      </c>
      <c r="C16" s="21">
        <v>45976</v>
      </c>
      <c r="D16" s="21">
        <v>45976</v>
      </c>
      <c r="E16" s="20" t="s">
        <v>286</v>
      </c>
      <c r="F16" s="20" t="s">
        <v>233</v>
      </c>
      <c r="G16" s="33" t="s">
        <v>291</v>
      </c>
      <c r="H16" s="111" t="s">
        <v>292</v>
      </c>
      <c r="I16" s="33" t="s">
        <v>271</v>
      </c>
      <c r="J16" s="15">
        <v>2850</v>
      </c>
      <c r="K16" s="33" t="s">
        <v>32</v>
      </c>
      <c r="L16" s="33" t="s">
        <v>235</v>
      </c>
      <c r="M16" s="33"/>
      <c r="N16" s="85"/>
      <c r="O16" s="23">
        <v>46006</v>
      </c>
      <c r="P16" s="108">
        <v>45835</v>
      </c>
      <c r="Q16" s="18"/>
      <c r="R16" s="95"/>
    </row>
    <row r="17" spans="1:19" s="78" customFormat="1" ht="38.1" customHeight="1">
      <c r="A17" s="133"/>
      <c r="B17" s="20" t="s">
        <v>231</v>
      </c>
      <c r="C17" s="21">
        <v>46006</v>
      </c>
      <c r="D17" s="21">
        <v>46006</v>
      </c>
      <c r="E17" s="20" t="s">
        <v>254</v>
      </c>
      <c r="F17" s="20" t="s">
        <v>233</v>
      </c>
      <c r="G17" s="33" t="s">
        <v>255</v>
      </c>
      <c r="H17" s="33" t="s">
        <v>256</v>
      </c>
      <c r="I17" s="33" t="s">
        <v>257</v>
      </c>
      <c r="J17" s="15">
        <v>3465</v>
      </c>
      <c r="K17" s="33" t="s">
        <v>56</v>
      </c>
      <c r="L17" s="33" t="s">
        <v>235</v>
      </c>
      <c r="M17" s="33"/>
      <c r="N17" s="85"/>
      <c r="O17" s="23">
        <v>46006</v>
      </c>
      <c r="P17" s="108">
        <v>45807</v>
      </c>
      <c r="Q17" s="18"/>
      <c r="R17" s="95"/>
    </row>
    <row r="18" spans="1:19" s="78" customFormat="1" ht="38.1" customHeight="1">
      <c r="A18" s="133"/>
      <c r="B18" s="20" t="s">
        <v>231</v>
      </c>
      <c r="C18" s="21">
        <v>46006</v>
      </c>
      <c r="D18" s="21">
        <v>46006</v>
      </c>
      <c r="E18" s="20" t="s">
        <v>258</v>
      </c>
      <c r="F18" s="20" t="s">
        <v>233</v>
      </c>
      <c r="G18" s="33" t="s">
        <v>259</v>
      </c>
      <c r="H18" s="33" t="s">
        <v>260</v>
      </c>
      <c r="I18" s="33" t="s">
        <v>261</v>
      </c>
      <c r="J18" s="15">
        <v>1498</v>
      </c>
      <c r="K18" s="33" t="s">
        <v>32</v>
      </c>
      <c r="L18" s="33" t="s">
        <v>235</v>
      </c>
      <c r="M18" s="33"/>
      <c r="N18" s="85"/>
      <c r="O18" s="23">
        <v>46006</v>
      </c>
      <c r="P18" s="108">
        <v>45807</v>
      </c>
      <c r="Q18" s="18"/>
      <c r="R18" s="95"/>
    </row>
    <row r="19" spans="1:19" s="78" customFormat="1" ht="38.1" customHeight="1">
      <c r="A19" s="133"/>
      <c r="B19" s="20" t="s">
        <v>231</v>
      </c>
      <c r="C19" s="21">
        <v>46006</v>
      </c>
      <c r="D19" s="21">
        <v>46006</v>
      </c>
      <c r="E19" s="20" t="s">
        <v>258</v>
      </c>
      <c r="F19" s="20" t="s">
        <v>233</v>
      </c>
      <c r="G19" s="33" t="s">
        <v>262</v>
      </c>
      <c r="H19" s="33" t="s">
        <v>263</v>
      </c>
      <c r="I19" s="33" t="s">
        <v>264</v>
      </c>
      <c r="J19" s="15">
        <v>3029</v>
      </c>
      <c r="K19" s="33" t="s">
        <v>56</v>
      </c>
      <c r="L19" s="33" t="s">
        <v>235</v>
      </c>
      <c r="M19" s="33"/>
      <c r="N19" s="85"/>
      <c r="O19" s="23">
        <v>46006</v>
      </c>
      <c r="P19" s="108">
        <v>45807</v>
      </c>
      <c r="Q19" s="18"/>
      <c r="R19" s="95"/>
    </row>
    <row r="20" spans="1:19" s="78" customFormat="1" ht="38.1" customHeight="1">
      <c r="A20" s="133"/>
      <c r="B20" s="20" t="s">
        <v>231</v>
      </c>
      <c r="C20" s="21">
        <v>46006</v>
      </c>
      <c r="D20" s="21">
        <v>46006</v>
      </c>
      <c r="E20" s="20" t="s">
        <v>258</v>
      </c>
      <c r="F20" s="20" t="s">
        <v>233</v>
      </c>
      <c r="G20" s="33" t="s">
        <v>265</v>
      </c>
      <c r="H20" s="33" t="s">
        <v>266</v>
      </c>
      <c r="I20" s="33" t="s">
        <v>267</v>
      </c>
      <c r="J20" s="15">
        <v>1337</v>
      </c>
      <c r="K20" s="33" t="s">
        <v>56</v>
      </c>
      <c r="L20" s="33" t="s">
        <v>235</v>
      </c>
      <c r="M20" s="33"/>
      <c r="N20" s="85"/>
      <c r="O20" s="23">
        <v>46006</v>
      </c>
      <c r="P20" s="108">
        <v>45835</v>
      </c>
      <c r="Q20" s="18"/>
      <c r="R20" s="95"/>
    </row>
    <row r="21" spans="1:19" s="78" customFormat="1" ht="38.1" customHeight="1">
      <c r="A21" s="133"/>
      <c r="B21" s="20" t="s">
        <v>231</v>
      </c>
      <c r="C21" s="21">
        <v>46006</v>
      </c>
      <c r="D21" s="21">
        <v>46006</v>
      </c>
      <c r="E21" s="20" t="s">
        <v>268</v>
      </c>
      <c r="F21" s="20" t="s">
        <v>233</v>
      </c>
      <c r="G21" s="33" t="s">
        <v>269</v>
      </c>
      <c r="H21" s="33" t="s">
        <v>270</v>
      </c>
      <c r="I21" s="33" t="s">
        <v>271</v>
      </c>
      <c r="J21" s="15">
        <v>3832</v>
      </c>
      <c r="K21" s="33" t="s">
        <v>56</v>
      </c>
      <c r="L21" s="33" t="s">
        <v>235</v>
      </c>
      <c r="M21" s="33"/>
      <c r="N21" s="85"/>
      <c r="O21" s="23">
        <v>46037</v>
      </c>
      <c r="P21" s="108">
        <v>45835</v>
      </c>
      <c r="Q21" s="18"/>
      <c r="R21" s="95"/>
    </row>
    <row r="22" spans="1:19" s="19" customFormat="1" ht="38.1" customHeight="1">
      <c r="A22" s="133"/>
      <c r="B22" s="20" t="s">
        <v>231</v>
      </c>
      <c r="C22" s="21">
        <v>46006</v>
      </c>
      <c r="D22" s="21">
        <v>46006</v>
      </c>
      <c r="E22" s="20" t="s">
        <v>279</v>
      </c>
      <c r="F22" s="20" t="s">
        <v>233</v>
      </c>
      <c r="G22" s="20" t="s">
        <v>281</v>
      </c>
      <c r="H22" s="20" t="s">
        <v>282</v>
      </c>
      <c r="I22" s="20" t="s">
        <v>280</v>
      </c>
      <c r="J22" s="15">
        <v>218</v>
      </c>
      <c r="K22" s="20" t="s">
        <v>32</v>
      </c>
      <c r="L22" s="20" t="s">
        <v>84</v>
      </c>
      <c r="M22" s="33"/>
      <c r="N22" s="21"/>
      <c r="O22" s="13">
        <v>46037</v>
      </c>
      <c r="P22" s="79">
        <v>45849</v>
      </c>
      <c r="Q22" s="18"/>
      <c r="R22" s="95"/>
    </row>
    <row r="23" spans="1:19" s="19" customFormat="1" ht="38.1" customHeight="1" thickBot="1">
      <c r="A23" s="134"/>
      <c r="B23" s="16" t="s">
        <v>231</v>
      </c>
      <c r="C23" s="13">
        <v>46006</v>
      </c>
      <c r="D23" s="13">
        <v>46006</v>
      </c>
      <c r="E23" s="16" t="s">
        <v>232</v>
      </c>
      <c r="F23" s="80" t="s">
        <v>233</v>
      </c>
      <c r="G23" s="16" t="s">
        <v>250</v>
      </c>
      <c r="H23" s="16" t="s">
        <v>251</v>
      </c>
      <c r="I23" s="16" t="s">
        <v>234</v>
      </c>
      <c r="J23" s="15">
        <v>2000</v>
      </c>
      <c r="K23" s="12" t="s">
        <v>32</v>
      </c>
      <c r="L23" s="16" t="s">
        <v>235</v>
      </c>
      <c r="M23" s="16" t="s">
        <v>236</v>
      </c>
      <c r="N23" s="76"/>
      <c r="O23" s="13">
        <v>46081</v>
      </c>
      <c r="P23" s="17">
        <v>45835</v>
      </c>
      <c r="Q23" s="18"/>
      <c r="R23" s="95"/>
    </row>
    <row r="24" spans="1:19" ht="38.1" customHeight="1" thickBot="1">
      <c r="A24" s="24"/>
      <c r="B24" s="25"/>
      <c r="C24" s="26"/>
      <c r="D24" s="26"/>
      <c r="E24" s="25"/>
      <c r="F24" s="27"/>
      <c r="G24" s="25"/>
      <c r="H24" s="28"/>
      <c r="I24" s="25"/>
      <c r="J24" s="29">
        <f>SUM(J14:J23)</f>
        <v>22379</v>
      </c>
      <c r="K24" s="25"/>
      <c r="L24" s="25"/>
      <c r="M24" s="30"/>
      <c r="N24" s="31"/>
      <c r="O24" s="26"/>
      <c r="P24" s="32"/>
      <c r="Q24" s="18"/>
      <c r="R24" s="95"/>
      <c r="S24" s="19"/>
    </row>
    <row r="25" spans="1:19" ht="38.1" customHeight="1">
      <c r="A25" s="2" t="s">
        <v>13</v>
      </c>
      <c r="B25" s="3" t="s">
        <v>14</v>
      </c>
      <c r="C25" s="4" t="s">
        <v>15</v>
      </c>
      <c r="D25" s="4" t="s">
        <v>3</v>
      </c>
      <c r="E25" s="3" t="s">
        <v>16</v>
      </c>
      <c r="F25" s="3" t="s">
        <v>17</v>
      </c>
      <c r="G25" s="3" t="s">
        <v>18</v>
      </c>
      <c r="H25" s="3" t="s">
        <v>19</v>
      </c>
      <c r="I25" s="3" t="s">
        <v>20</v>
      </c>
      <c r="J25" s="6" t="s">
        <v>21</v>
      </c>
      <c r="K25" s="7" t="s">
        <v>22</v>
      </c>
      <c r="L25" s="3" t="s">
        <v>23</v>
      </c>
      <c r="M25" s="3" t="s">
        <v>24</v>
      </c>
      <c r="N25" s="3" t="s">
        <v>25</v>
      </c>
      <c r="O25" s="8" t="s">
        <v>26</v>
      </c>
      <c r="P25" s="9" t="s">
        <v>27</v>
      </c>
      <c r="Q25" s="18"/>
      <c r="R25" s="95"/>
      <c r="S25" s="19"/>
    </row>
    <row r="26" spans="1:19" s="19" customFormat="1" ht="38.1" customHeight="1">
      <c r="A26" s="129" t="s">
        <v>249</v>
      </c>
      <c r="B26" s="16" t="s">
        <v>231</v>
      </c>
      <c r="C26" s="13">
        <v>46006</v>
      </c>
      <c r="D26" s="13">
        <v>46006</v>
      </c>
      <c r="E26" s="16" t="s">
        <v>232</v>
      </c>
      <c r="F26" s="80" t="s">
        <v>233</v>
      </c>
      <c r="G26" s="16" t="s">
        <v>250</v>
      </c>
      <c r="H26" s="16" t="s">
        <v>251</v>
      </c>
      <c r="I26" s="16" t="s">
        <v>234</v>
      </c>
      <c r="J26" s="15">
        <v>22000</v>
      </c>
      <c r="K26" s="12" t="s">
        <v>32</v>
      </c>
      <c r="L26" s="16" t="s">
        <v>235</v>
      </c>
      <c r="M26" s="16" t="s">
        <v>236</v>
      </c>
      <c r="N26" s="76"/>
      <c r="O26" s="13">
        <v>46081</v>
      </c>
      <c r="P26" s="17">
        <v>45835</v>
      </c>
      <c r="Q26" s="18">
        <f>53310</f>
        <v>53310</v>
      </c>
      <c r="R26" s="95"/>
    </row>
    <row r="27" spans="1:19" s="19" customFormat="1" ht="38.1" customHeight="1" thickBot="1">
      <c r="A27" s="131"/>
      <c r="B27" s="16"/>
      <c r="C27" s="13"/>
      <c r="D27" s="13"/>
      <c r="E27" s="16"/>
      <c r="F27" s="80"/>
      <c r="G27" s="16"/>
      <c r="H27" s="16"/>
      <c r="I27" s="16"/>
      <c r="J27" s="15"/>
      <c r="K27" s="12"/>
      <c r="L27" s="16"/>
      <c r="M27" s="16"/>
      <c r="N27" s="76"/>
      <c r="O27" s="13"/>
      <c r="P27" s="17"/>
      <c r="Q27" s="18"/>
      <c r="R27" s="95"/>
    </row>
    <row r="28" spans="1:19" ht="38.1" customHeight="1" thickBot="1">
      <c r="A28" s="24"/>
      <c r="B28" s="25"/>
      <c r="C28" s="26"/>
      <c r="D28" s="26"/>
      <c r="E28" s="25"/>
      <c r="F28" s="27" t="s">
        <v>367</v>
      </c>
      <c r="G28" s="25"/>
      <c r="H28" s="28"/>
      <c r="I28" s="25"/>
      <c r="J28" s="29">
        <f>SUM(J26:J27)</f>
        <v>22000</v>
      </c>
      <c r="K28" s="25"/>
      <c r="L28" s="25"/>
      <c r="M28" s="30"/>
      <c r="N28" s="31"/>
      <c r="O28" s="26"/>
      <c r="P28" s="32"/>
      <c r="Q28" s="18"/>
      <c r="R28" s="95"/>
      <c r="S28" s="19"/>
    </row>
    <row r="29" spans="1:19" ht="38.1" customHeight="1">
      <c r="A29" s="2" t="s">
        <v>13</v>
      </c>
      <c r="B29" s="3" t="s">
        <v>14</v>
      </c>
      <c r="C29" s="4" t="s">
        <v>15</v>
      </c>
      <c r="D29" s="4" t="s">
        <v>3</v>
      </c>
      <c r="E29" s="3" t="s">
        <v>16</v>
      </c>
      <c r="F29" s="3" t="s">
        <v>17</v>
      </c>
      <c r="G29" s="3" t="s">
        <v>18</v>
      </c>
      <c r="H29" s="3" t="s">
        <v>19</v>
      </c>
      <c r="I29" s="3" t="s">
        <v>20</v>
      </c>
      <c r="J29" s="6" t="s">
        <v>21</v>
      </c>
      <c r="K29" s="7" t="s">
        <v>22</v>
      </c>
      <c r="L29" s="3" t="s">
        <v>23</v>
      </c>
      <c r="M29" s="3" t="s">
        <v>24</v>
      </c>
      <c r="N29" s="3" t="s">
        <v>25</v>
      </c>
      <c r="O29" s="8" t="s">
        <v>26</v>
      </c>
      <c r="P29" s="9" t="s">
        <v>27</v>
      </c>
      <c r="Q29" s="18"/>
      <c r="R29" s="95"/>
      <c r="S29" s="19"/>
    </row>
    <row r="30" spans="1:19" s="19" customFormat="1" ht="38.1" customHeight="1">
      <c r="A30" s="129" t="s">
        <v>323</v>
      </c>
      <c r="B30" s="16" t="s">
        <v>231</v>
      </c>
      <c r="C30" s="13">
        <v>46006</v>
      </c>
      <c r="D30" s="13">
        <v>46006</v>
      </c>
      <c r="E30" s="16" t="s">
        <v>232</v>
      </c>
      <c r="F30" s="80" t="s">
        <v>233</v>
      </c>
      <c r="G30" s="16" t="s">
        <v>250</v>
      </c>
      <c r="H30" s="16" t="s">
        <v>251</v>
      </c>
      <c r="I30" s="16" t="s">
        <v>234</v>
      </c>
      <c r="J30" s="15">
        <f>30051-J26-J23</f>
        <v>6051</v>
      </c>
      <c r="K30" s="12" t="s">
        <v>32</v>
      </c>
      <c r="L30" s="16" t="s">
        <v>235</v>
      </c>
      <c r="M30" s="16" t="s">
        <v>236</v>
      </c>
      <c r="N30" s="76"/>
      <c r="O30" s="13">
        <v>46081</v>
      </c>
      <c r="P30" s="17">
        <v>45835</v>
      </c>
      <c r="Q30" s="18"/>
      <c r="R30" s="95"/>
    </row>
    <row r="31" spans="1:19" s="19" customFormat="1" ht="38.1" customHeight="1">
      <c r="A31" s="130"/>
      <c r="B31" s="110" t="s">
        <v>365</v>
      </c>
      <c r="C31" s="13">
        <v>46006</v>
      </c>
      <c r="D31" s="13">
        <v>46006</v>
      </c>
      <c r="E31" s="20" t="s">
        <v>356</v>
      </c>
      <c r="F31" s="109" t="s">
        <v>361</v>
      </c>
      <c r="G31" s="20" t="s">
        <v>357</v>
      </c>
      <c r="H31" s="110" t="s">
        <v>363</v>
      </c>
      <c r="I31" s="20" t="s">
        <v>358</v>
      </c>
      <c r="J31" s="15">
        <v>706</v>
      </c>
      <c r="K31" s="20" t="s">
        <v>32</v>
      </c>
      <c r="L31" s="20" t="s">
        <v>235</v>
      </c>
      <c r="M31" s="33"/>
      <c r="N31" s="21"/>
      <c r="O31" s="21">
        <v>46006</v>
      </c>
      <c r="P31" s="54">
        <v>45937</v>
      </c>
      <c r="Q31" s="18"/>
      <c r="R31" s="95"/>
    </row>
    <row r="32" spans="1:19" s="19" customFormat="1" ht="38.1" customHeight="1">
      <c r="A32" s="130"/>
      <c r="B32" s="110" t="s">
        <v>365</v>
      </c>
      <c r="C32" s="13">
        <v>46006</v>
      </c>
      <c r="D32" s="13">
        <v>46006</v>
      </c>
      <c r="E32" s="20" t="s">
        <v>356</v>
      </c>
      <c r="F32" s="109" t="s">
        <v>361</v>
      </c>
      <c r="G32" s="20" t="s">
        <v>359</v>
      </c>
      <c r="H32" s="110" t="s">
        <v>364</v>
      </c>
      <c r="I32" s="20" t="s">
        <v>360</v>
      </c>
      <c r="J32" s="15">
        <v>752</v>
      </c>
      <c r="K32" s="20" t="s">
        <v>32</v>
      </c>
      <c r="L32" s="20" t="s">
        <v>33</v>
      </c>
      <c r="M32" s="33"/>
      <c r="N32" s="21"/>
      <c r="O32" s="21">
        <v>46006</v>
      </c>
      <c r="P32" s="54">
        <v>45821</v>
      </c>
      <c r="Q32" s="18"/>
      <c r="R32" s="95"/>
    </row>
    <row r="33" spans="1:19" s="19" customFormat="1" ht="38.1" customHeight="1">
      <c r="A33" s="130"/>
      <c r="B33" s="20" t="s">
        <v>231</v>
      </c>
      <c r="C33" s="21">
        <v>46014</v>
      </c>
      <c r="D33" s="21">
        <v>46014</v>
      </c>
      <c r="E33" s="20" t="s">
        <v>232</v>
      </c>
      <c r="F33" s="22" t="s">
        <v>233</v>
      </c>
      <c r="G33" s="20" t="s">
        <v>241</v>
      </c>
      <c r="H33" s="20" t="s">
        <v>242</v>
      </c>
      <c r="I33" s="20" t="s">
        <v>243</v>
      </c>
      <c r="J33" s="15">
        <v>565</v>
      </c>
      <c r="K33" s="20" t="s">
        <v>56</v>
      </c>
      <c r="L33" s="20" t="s">
        <v>42</v>
      </c>
      <c r="M33" s="33"/>
      <c r="N33" s="21"/>
      <c r="O33" s="21">
        <v>46014</v>
      </c>
      <c r="P33" s="54">
        <v>45884</v>
      </c>
      <c r="Q33" s="18"/>
      <c r="R33" s="95"/>
    </row>
    <row r="34" spans="1:19" s="19" customFormat="1" ht="38.1" customHeight="1" thickBot="1">
      <c r="A34" s="131"/>
      <c r="B34" s="20" t="s">
        <v>231</v>
      </c>
      <c r="C34" s="21">
        <v>46021</v>
      </c>
      <c r="D34" s="21">
        <v>46022</v>
      </c>
      <c r="E34" s="20" t="s">
        <v>232</v>
      </c>
      <c r="F34" s="22" t="s">
        <v>233</v>
      </c>
      <c r="G34" s="20" t="s">
        <v>244</v>
      </c>
      <c r="H34" s="20" t="s">
        <v>245</v>
      </c>
      <c r="I34" s="20" t="s">
        <v>246</v>
      </c>
      <c r="J34" s="15">
        <v>153</v>
      </c>
      <c r="K34" s="20" t="s">
        <v>32</v>
      </c>
      <c r="L34" s="20" t="s">
        <v>84</v>
      </c>
      <c r="M34" s="33"/>
      <c r="N34" s="21"/>
      <c r="O34" s="21">
        <v>46068</v>
      </c>
      <c r="P34" s="54">
        <v>45842</v>
      </c>
      <c r="Q34" s="18">
        <f>580*8</f>
        <v>4640</v>
      </c>
      <c r="R34" s="95"/>
    </row>
    <row r="35" spans="1:19" ht="38.1" customHeight="1" thickBot="1">
      <c r="A35" s="24"/>
      <c r="B35" s="25"/>
      <c r="C35" s="26"/>
      <c r="D35" s="26"/>
      <c r="E35" s="25"/>
      <c r="F35" s="27"/>
      <c r="G35" s="25"/>
      <c r="H35" s="28"/>
      <c r="I35" s="25"/>
      <c r="J35" s="29">
        <f>SUM(J30:J34)</f>
        <v>8227</v>
      </c>
      <c r="K35" s="25"/>
      <c r="L35" s="25"/>
      <c r="M35" s="30"/>
      <c r="N35" s="31"/>
      <c r="O35" s="26"/>
      <c r="P35" s="32"/>
      <c r="Q35" s="18">
        <f>12*580</f>
        <v>6960</v>
      </c>
      <c r="R35" s="95"/>
      <c r="S35" s="19"/>
    </row>
    <row r="36" spans="1:19" s="19" customFormat="1" ht="38.1" customHeight="1" thickBot="1">
      <c r="A36" s="96"/>
      <c r="B36" s="97"/>
      <c r="C36" s="97"/>
      <c r="D36" s="97"/>
      <c r="E36" s="97"/>
      <c r="F36" s="97"/>
      <c r="G36" s="98"/>
      <c r="H36" s="135" t="str">
        <f>"TOTAL="&amp;SUM(J4:J35)/2</f>
        <v>TOTAL=60156</v>
      </c>
      <c r="I36" s="136"/>
      <c r="J36" s="136"/>
      <c r="K36" s="136"/>
      <c r="L36" s="137"/>
      <c r="M36" s="99"/>
      <c r="N36" s="100"/>
      <c r="O36" s="100"/>
      <c r="P36" s="101"/>
      <c r="Q36" s="18">
        <f>6960-4640</f>
        <v>2320</v>
      </c>
      <c r="R36" s="95"/>
    </row>
    <row r="37" spans="1:19" ht="38.1" customHeight="1">
      <c r="A37" s="81" t="s">
        <v>209</v>
      </c>
      <c r="B37" s="64"/>
      <c r="C37" s="64">
        <v>45991</v>
      </c>
      <c r="D37" s="64">
        <v>45992</v>
      </c>
      <c r="E37" s="64">
        <v>45993</v>
      </c>
      <c r="F37" s="64">
        <v>45994</v>
      </c>
      <c r="G37" s="64">
        <v>45995</v>
      </c>
      <c r="H37" s="64">
        <v>45996</v>
      </c>
      <c r="I37" s="64">
        <v>45997</v>
      </c>
      <c r="J37" s="64">
        <v>45998</v>
      </c>
      <c r="K37" s="64">
        <v>45999</v>
      </c>
      <c r="L37" s="64">
        <v>46000</v>
      </c>
      <c r="M37" s="64">
        <v>46001</v>
      </c>
      <c r="N37" s="64">
        <v>46002</v>
      </c>
      <c r="O37" s="64">
        <v>46003</v>
      </c>
      <c r="P37" s="65">
        <v>46004</v>
      </c>
      <c r="Q37" s="18"/>
      <c r="R37" s="18"/>
      <c r="S37" s="19"/>
    </row>
    <row r="38" spans="1:19" ht="38.1" customHeight="1">
      <c r="A38" s="66" t="s">
        <v>327</v>
      </c>
      <c r="B38" s="67"/>
      <c r="C38" s="67"/>
      <c r="D38" s="103"/>
      <c r="E38" s="103"/>
      <c r="F38" s="16"/>
      <c r="G38" s="16"/>
      <c r="H38" s="75">
        <v>580</v>
      </c>
      <c r="I38" s="16">
        <v>580</v>
      </c>
      <c r="J38" s="67"/>
      <c r="K38" s="16">
        <v>580</v>
      </c>
      <c r="L38" s="16">
        <v>580</v>
      </c>
      <c r="M38" s="16">
        <f>580</f>
        <v>580</v>
      </c>
      <c r="N38" s="104">
        <v>580</v>
      </c>
      <c r="O38" s="16">
        <v>580</v>
      </c>
      <c r="P38" s="82">
        <v>580</v>
      </c>
      <c r="Q38" s="18"/>
      <c r="R38" s="18"/>
      <c r="S38" s="19"/>
    </row>
    <row r="39" spans="1:19" ht="38.1" customHeight="1">
      <c r="A39" s="66" t="s">
        <v>330</v>
      </c>
      <c r="B39" s="73"/>
      <c r="C39" s="73"/>
      <c r="D39" s="103"/>
      <c r="E39" s="103"/>
      <c r="F39" s="16"/>
      <c r="G39" s="16"/>
      <c r="H39" s="75">
        <v>580</v>
      </c>
      <c r="I39" s="16">
        <v>580</v>
      </c>
      <c r="J39" s="73"/>
      <c r="K39" s="16">
        <v>580</v>
      </c>
      <c r="L39" s="16">
        <v>580</v>
      </c>
      <c r="M39" s="16">
        <f>580</f>
        <v>580</v>
      </c>
      <c r="N39" s="104">
        <v>580</v>
      </c>
      <c r="O39" s="16">
        <v>580</v>
      </c>
      <c r="P39" s="82">
        <v>580</v>
      </c>
      <c r="Q39" s="18"/>
      <c r="R39" s="18"/>
      <c r="S39" s="19"/>
    </row>
    <row r="40" spans="1:19" ht="38.1" customHeight="1">
      <c r="A40" s="66" t="s">
        <v>331</v>
      </c>
      <c r="B40" s="73"/>
      <c r="C40" s="73"/>
      <c r="D40" s="103"/>
      <c r="E40" s="103"/>
      <c r="F40" s="16"/>
      <c r="G40" s="16"/>
      <c r="H40" s="75">
        <v>580</v>
      </c>
      <c r="I40" s="16">
        <v>580</v>
      </c>
      <c r="J40" s="73"/>
      <c r="K40" s="16">
        <v>580</v>
      </c>
      <c r="L40" s="16">
        <v>580</v>
      </c>
      <c r="M40" s="16">
        <f>580</f>
        <v>580</v>
      </c>
      <c r="N40" s="104">
        <v>580</v>
      </c>
      <c r="O40" s="16">
        <v>580</v>
      </c>
      <c r="P40" s="82">
        <v>580</v>
      </c>
      <c r="Q40" s="18"/>
      <c r="R40" s="18"/>
      <c r="S40" s="19"/>
    </row>
    <row r="41" spans="1:19" ht="38.1" customHeight="1">
      <c r="A41" s="66" t="s">
        <v>317</v>
      </c>
      <c r="B41" s="73"/>
      <c r="C41" s="73"/>
      <c r="D41" s="103"/>
      <c r="E41" s="103"/>
      <c r="F41" s="16"/>
      <c r="G41" s="16"/>
      <c r="H41" s="75">
        <v>580</v>
      </c>
      <c r="I41" s="16">
        <v>580</v>
      </c>
      <c r="J41" s="73"/>
      <c r="K41" s="16">
        <v>580</v>
      </c>
      <c r="L41" s="16">
        <v>580</v>
      </c>
      <c r="M41" s="16">
        <f>580</f>
        <v>580</v>
      </c>
      <c r="N41" s="104">
        <v>580</v>
      </c>
      <c r="O41" s="16">
        <v>580</v>
      </c>
      <c r="P41" s="82">
        <v>580</v>
      </c>
      <c r="Q41" s="18"/>
      <c r="R41" s="18"/>
      <c r="S41" s="19"/>
    </row>
    <row r="42" spans="1:19" ht="38.1" customHeight="1">
      <c r="A42" s="66" t="s">
        <v>328</v>
      </c>
      <c r="B42" s="73"/>
      <c r="C42" s="73"/>
      <c r="D42" s="103"/>
      <c r="E42" s="103"/>
      <c r="F42" s="16"/>
      <c r="G42" s="16"/>
      <c r="H42" s="75">
        <v>580</v>
      </c>
      <c r="I42" s="16">
        <v>580</v>
      </c>
      <c r="J42" s="73"/>
      <c r="K42" s="16">
        <v>580</v>
      </c>
      <c r="L42" s="16">
        <v>580</v>
      </c>
      <c r="M42" s="16">
        <f>580</f>
        <v>580</v>
      </c>
      <c r="N42" s="104">
        <v>580</v>
      </c>
      <c r="O42" s="16">
        <v>580</v>
      </c>
      <c r="P42" s="82">
        <v>580</v>
      </c>
      <c r="Q42" s="18"/>
      <c r="R42" s="18"/>
      <c r="S42" s="19"/>
    </row>
    <row r="43" spans="1:19" ht="38.1" customHeight="1">
      <c r="A43" s="102" t="s">
        <v>329</v>
      </c>
      <c r="B43" s="73"/>
      <c r="C43" s="73"/>
      <c r="D43" s="103"/>
      <c r="E43" s="103"/>
      <c r="F43" s="16"/>
      <c r="G43" s="16"/>
      <c r="H43" s="75">
        <v>580</v>
      </c>
      <c r="I43" s="16">
        <v>580</v>
      </c>
      <c r="J43" s="73"/>
      <c r="K43" s="16">
        <v>580</v>
      </c>
      <c r="L43" s="16">
        <v>580</v>
      </c>
      <c r="M43" s="16">
        <f>580</f>
        <v>580</v>
      </c>
      <c r="N43" s="104">
        <v>580</v>
      </c>
      <c r="O43" s="16">
        <v>580</v>
      </c>
      <c r="P43" s="82">
        <v>580</v>
      </c>
      <c r="Q43" s="18"/>
      <c r="R43" s="18"/>
      <c r="S43" s="19"/>
    </row>
    <row r="44" spans="1:19" ht="38.1" customHeight="1">
      <c r="A44" s="102" t="s">
        <v>318</v>
      </c>
      <c r="B44" s="73"/>
      <c r="C44" s="73"/>
      <c r="D44" s="107"/>
      <c r="E44" s="107"/>
      <c r="F44" s="16"/>
      <c r="G44" s="16"/>
      <c r="H44" s="75">
        <v>580</v>
      </c>
      <c r="I44" s="16">
        <v>580</v>
      </c>
      <c r="J44" s="73"/>
      <c r="K44" s="16">
        <v>580</v>
      </c>
      <c r="L44" s="16">
        <v>580</v>
      </c>
      <c r="M44" s="16">
        <f>580</f>
        <v>580</v>
      </c>
      <c r="N44" s="104">
        <v>580</v>
      </c>
      <c r="O44" s="16">
        <v>580</v>
      </c>
      <c r="P44" s="82">
        <v>580</v>
      </c>
      <c r="Q44" s="18"/>
      <c r="R44" s="18"/>
      <c r="S44" s="19"/>
    </row>
    <row r="45" spans="1:19" ht="38.1" customHeight="1">
      <c r="A45" s="81" t="s">
        <v>209</v>
      </c>
      <c r="B45" s="64"/>
      <c r="C45" s="64">
        <v>46005</v>
      </c>
      <c r="D45" s="64">
        <v>46006</v>
      </c>
      <c r="E45" s="64">
        <v>46007</v>
      </c>
      <c r="F45" s="64">
        <v>46008</v>
      </c>
      <c r="G45" s="64">
        <v>46009</v>
      </c>
      <c r="H45" s="64">
        <v>46010</v>
      </c>
      <c r="I45" s="64">
        <v>46011</v>
      </c>
      <c r="J45" s="64">
        <v>46012</v>
      </c>
      <c r="K45" s="64">
        <v>46013</v>
      </c>
      <c r="L45" s="64">
        <v>46014</v>
      </c>
      <c r="M45" s="64">
        <v>46015</v>
      </c>
      <c r="N45" s="64">
        <v>46016</v>
      </c>
      <c r="O45" s="64">
        <v>46017</v>
      </c>
      <c r="P45" s="65" t="s">
        <v>213</v>
      </c>
      <c r="Q45" s="18"/>
      <c r="R45" s="77"/>
      <c r="S45" s="19"/>
    </row>
    <row r="46" spans="1:19" ht="38.1" customHeight="1">
      <c r="A46" s="66" t="s">
        <v>327</v>
      </c>
      <c r="B46" s="67"/>
      <c r="C46" s="67"/>
      <c r="D46" s="103">
        <v>580</v>
      </c>
      <c r="E46" s="103">
        <v>580</v>
      </c>
      <c r="F46" s="16">
        <v>580</v>
      </c>
      <c r="G46" s="16">
        <v>580</v>
      </c>
      <c r="H46" s="16">
        <v>580</v>
      </c>
      <c r="I46" s="16">
        <v>580</v>
      </c>
      <c r="J46" s="67"/>
      <c r="K46" s="16">
        <v>474</v>
      </c>
      <c r="L46" s="16"/>
      <c r="M46" s="16"/>
      <c r="N46" s="67"/>
      <c r="O46" s="16"/>
      <c r="P46" s="82">
        <f t="shared" ref="P46:P52" si="0">SUM(C38:P38,C46:O46)</f>
        <v>8594</v>
      </c>
      <c r="Q46" s="18"/>
      <c r="R46" s="77"/>
      <c r="S46" s="19"/>
    </row>
    <row r="47" spans="1:19" ht="38.1" customHeight="1">
      <c r="A47" s="66" t="s">
        <v>330</v>
      </c>
      <c r="B47" s="73"/>
      <c r="C47" s="73"/>
      <c r="D47" s="103">
        <v>580</v>
      </c>
      <c r="E47" s="103">
        <v>580</v>
      </c>
      <c r="F47" s="16">
        <v>580</v>
      </c>
      <c r="G47" s="16">
        <v>580</v>
      </c>
      <c r="H47" s="16">
        <v>580</v>
      </c>
      <c r="I47" s="16">
        <v>580</v>
      </c>
      <c r="J47" s="73"/>
      <c r="K47" s="16">
        <v>474</v>
      </c>
      <c r="L47" s="16"/>
      <c r="M47" s="16"/>
      <c r="N47" s="73"/>
      <c r="O47" s="16"/>
      <c r="P47" s="82">
        <f t="shared" si="0"/>
        <v>8594</v>
      </c>
      <c r="Q47" s="18"/>
      <c r="R47" s="77"/>
      <c r="S47" s="19"/>
    </row>
    <row r="48" spans="1:19" ht="38.1" customHeight="1">
      <c r="A48" s="66" t="s">
        <v>331</v>
      </c>
      <c r="B48" s="73"/>
      <c r="C48" s="73"/>
      <c r="D48" s="103">
        <v>580</v>
      </c>
      <c r="E48" s="103">
        <v>580</v>
      </c>
      <c r="F48" s="16">
        <v>580</v>
      </c>
      <c r="G48" s="16">
        <v>580</v>
      </c>
      <c r="H48" s="16">
        <v>580</v>
      </c>
      <c r="I48" s="16">
        <v>580</v>
      </c>
      <c r="J48" s="73"/>
      <c r="K48" s="16">
        <v>474</v>
      </c>
      <c r="L48" s="16"/>
      <c r="M48" s="16"/>
      <c r="N48" s="73"/>
      <c r="O48" s="16"/>
      <c r="P48" s="82">
        <f t="shared" si="0"/>
        <v>8594</v>
      </c>
      <c r="Q48" s="18"/>
      <c r="R48" s="77"/>
      <c r="S48" s="19"/>
    </row>
    <row r="49" spans="1:19" ht="38.1" customHeight="1">
      <c r="A49" s="66" t="s">
        <v>317</v>
      </c>
      <c r="B49" s="73"/>
      <c r="C49" s="73"/>
      <c r="D49" s="103">
        <v>580</v>
      </c>
      <c r="E49" s="103">
        <v>580</v>
      </c>
      <c r="F49" s="16">
        <v>580</v>
      </c>
      <c r="G49" s="16">
        <v>580</v>
      </c>
      <c r="H49" s="16">
        <v>580</v>
      </c>
      <c r="I49" s="16">
        <v>580</v>
      </c>
      <c r="J49" s="73"/>
      <c r="K49" s="16">
        <v>473</v>
      </c>
      <c r="L49" s="16"/>
      <c r="M49" s="16"/>
      <c r="N49" s="73"/>
      <c r="O49" s="16"/>
      <c r="P49" s="82">
        <f t="shared" si="0"/>
        <v>8593</v>
      </c>
      <c r="Q49" s="18"/>
      <c r="R49" s="77"/>
      <c r="S49" s="19"/>
    </row>
    <row r="50" spans="1:19" ht="38.1" customHeight="1">
      <c r="A50" s="66" t="s">
        <v>328</v>
      </c>
      <c r="B50" s="73"/>
      <c r="C50" s="73"/>
      <c r="D50" s="103">
        <v>580</v>
      </c>
      <c r="E50" s="103">
        <v>580</v>
      </c>
      <c r="F50" s="16">
        <v>580</v>
      </c>
      <c r="G50" s="16">
        <v>580</v>
      </c>
      <c r="H50" s="16">
        <v>580</v>
      </c>
      <c r="I50" s="16">
        <v>580</v>
      </c>
      <c r="J50" s="73"/>
      <c r="K50" s="16">
        <v>473</v>
      </c>
      <c r="L50" s="16"/>
      <c r="M50" s="16"/>
      <c r="N50" s="73"/>
      <c r="O50" s="16"/>
      <c r="P50" s="82">
        <f t="shared" si="0"/>
        <v>8593</v>
      </c>
      <c r="Q50" s="18"/>
      <c r="R50" s="77"/>
      <c r="S50" s="19"/>
    </row>
    <row r="51" spans="1:19" ht="38.1" customHeight="1">
      <c r="A51" s="102" t="s">
        <v>329</v>
      </c>
      <c r="B51" s="73"/>
      <c r="C51" s="73"/>
      <c r="D51" s="103">
        <v>580</v>
      </c>
      <c r="E51" s="103">
        <v>580</v>
      </c>
      <c r="F51" s="16">
        <v>580</v>
      </c>
      <c r="G51" s="16">
        <v>580</v>
      </c>
      <c r="H51" s="16">
        <v>580</v>
      </c>
      <c r="I51" s="16">
        <v>580</v>
      </c>
      <c r="J51" s="73"/>
      <c r="K51" s="16">
        <v>473</v>
      </c>
      <c r="L51" s="16"/>
      <c r="M51" s="16"/>
      <c r="N51" s="73"/>
      <c r="O51" s="16"/>
      <c r="P51" s="82">
        <f t="shared" si="0"/>
        <v>8593</v>
      </c>
      <c r="Q51" s="18"/>
      <c r="R51" s="77"/>
      <c r="S51" s="19"/>
    </row>
    <row r="52" spans="1:19" ht="38.1" customHeight="1">
      <c r="A52" s="102" t="s">
        <v>318</v>
      </c>
      <c r="B52" s="73"/>
      <c r="C52" s="73"/>
      <c r="D52" s="103">
        <v>580</v>
      </c>
      <c r="E52" s="103">
        <v>580</v>
      </c>
      <c r="F52" s="16">
        <v>580</v>
      </c>
      <c r="G52" s="16">
        <v>580</v>
      </c>
      <c r="H52" s="16">
        <v>580</v>
      </c>
      <c r="I52" s="16">
        <v>580</v>
      </c>
      <c r="J52" s="73"/>
      <c r="K52" s="16">
        <v>473</v>
      </c>
      <c r="L52" s="16"/>
      <c r="M52" s="16"/>
      <c r="N52" s="73"/>
      <c r="O52" s="16"/>
      <c r="P52" s="82">
        <f t="shared" si="0"/>
        <v>8593</v>
      </c>
      <c r="Q52" s="18"/>
      <c r="R52" s="77"/>
      <c r="S52" s="19"/>
    </row>
    <row r="53" spans="1:19" ht="38.1" customHeight="1">
      <c r="A53" s="138" t="s">
        <v>214</v>
      </c>
      <c r="B53" s="139"/>
      <c r="C53" s="139"/>
      <c r="D53" s="139"/>
      <c r="E53" s="140"/>
      <c r="F53" s="155" t="s">
        <v>215</v>
      </c>
      <c r="G53" s="156"/>
      <c r="H53" s="145"/>
      <c r="I53" s="145"/>
      <c r="J53" s="145"/>
      <c r="K53" s="146"/>
      <c r="L53" s="150" t="s">
        <v>324</v>
      </c>
      <c r="M53" s="139"/>
      <c r="N53" s="139"/>
      <c r="O53" s="140"/>
      <c r="P53" s="127">
        <f>SUM(P46:P52)</f>
        <v>60154</v>
      </c>
      <c r="Q53" s="18"/>
      <c r="R53" s="77"/>
      <c r="S53" s="19"/>
    </row>
    <row r="54" spans="1:19" ht="38.1" customHeight="1" thickBot="1">
      <c r="A54" s="141"/>
      <c r="B54" s="142"/>
      <c r="C54" s="142"/>
      <c r="D54" s="142"/>
      <c r="E54" s="143"/>
      <c r="F54" s="147"/>
      <c r="G54" s="148"/>
      <c r="H54" s="148"/>
      <c r="I54" s="148"/>
      <c r="J54" s="148"/>
      <c r="K54" s="149"/>
      <c r="L54" s="151"/>
      <c r="M54" s="142"/>
      <c r="N54" s="142"/>
      <c r="O54" s="143"/>
      <c r="P54" s="128"/>
      <c r="Q54" s="18"/>
      <c r="R54" s="77"/>
      <c r="S54" s="19"/>
    </row>
    <row r="55" spans="1:19" ht="38.1" customHeight="1">
      <c r="H55" s="106"/>
      <c r="M55" s="1" t="s">
        <v>332</v>
      </c>
      <c r="Q55" s="18"/>
      <c r="R55" s="77"/>
      <c r="S55" s="19"/>
    </row>
    <row r="56" spans="1:19" ht="38.1" customHeight="1">
      <c r="H56" s="106"/>
    </row>
    <row r="57" spans="1:19" ht="38.1" customHeight="1">
      <c r="H57" s="106"/>
    </row>
    <row r="58" spans="1:19" ht="38.1" customHeight="1">
      <c r="H58" s="106"/>
    </row>
    <row r="59" spans="1:19" s="19" customFormat="1" ht="38.1" customHeight="1">
      <c r="A59" s="1"/>
      <c r="B59" s="1"/>
      <c r="C59" s="1"/>
      <c r="D59" s="1"/>
      <c r="E59" s="1"/>
      <c r="F59" s="1"/>
      <c r="G59" s="1"/>
      <c r="H59" s="106"/>
      <c r="I59" s="1"/>
      <c r="J59" s="1"/>
      <c r="K59" s="1"/>
      <c r="L59" s="1"/>
      <c r="M59" s="1"/>
      <c r="N59" s="1"/>
      <c r="O59" s="1"/>
      <c r="P59" s="1"/>
      <c r="Q59" s="1"/>
      <c r="S59" s="1"/>
    </row>
    <row r="60" spans="1:19" s="19" customFormat="1" ht="38.1" customHeight="1">
      <c r="A60" s="1"/>
      <c r="B60" s="1"/>
      <c r="C60" s="1"/>
      <c r="D60" s="1"/>
      <c r="E60" s="1"/>
      <c r="F60" s="1"/>
      <c r="G60" s="1"/>
      <c r="H60" s="106"/>
      <c r="I60" s="1"/>
      <c r="J60" s="1"/>
      <c r="K60" s="1"/>
      <c r="L60" s="1"/>
      <c r="M60" s="1"/>
      <c r="N60" s="1"/>
      <c r="O60" s="1"/>
      <c r="P60" s="1"/>
      <c r="Q60" s="1"/>
      <c r="S60" s="1"/>
    </row>
    <row r="61" spans="1:19" s="19" customFormat="1" ht="38.1" customHeight="1">
      <c r="A61" s="1"/>
      <c r="B61" s="1"/>
      <c r="C61" s="1"/>
      <c r="D61" s="1"/>
      <c r="E61" s="1"/>
      <c r="F61" s="1"/>
      <c r="G61" s="1"/>
      <c r="H61" s="106"/>
      <c r="I61" s="1"/>
      <c r="J61" s="1"/>
      <c r="K61" s="1"/>
      <c r="L61" s="1"/>
      <c r="M61" s="1"/>
      <c r="N61" s="1"/>
      <c r="O61" s="1"/>
      <c r="P61" s="1"/>
      <c r="Q61" s="1"/>
      <c r="S61" s="1"/>
    </row>
    <row r="62" spans="1:19" s="19" customFormat="1" ht="38.1" customHeight="1">
      <c r="A62" s="1"/>
      <c r="B62" s="1"/>
      <c r="C62" s="1"/>
      <c r="D62" s="1"/>
      <c r="E62" s="1"/>
      <c r="F62" s="1"/>
      <c r="G62" s="1"/>
      <c r="H62" s="106"/>
      <c r="I62" s="1"/>
      <c r="J62" s="1"/>
      <c r="K62" s="1"/>
      <c r="L62" s="1"/>
      <c r="M62" s="1"/>
      <c r="N62" s="1"/>
      <c r="O62" s="1"/>
      <c r="P62" s="1"/>
      <c r="Q62" s="1"/>
      <c r="S62" s="1"/>
    </row>
    <row r="63" spans="1:19" s="19" customFormat="1" ht="38.1" customHeight="1">
      <c r="A63" s="1"/>
      <c r="B63" s="1"/>
      <c r="C63" s="1"/>
      <c r="D63" s="1"/>
      <c r="E63" s="1"/>
      <c r="F63" s="1"/>
      <c r="G63" s="1"/>
      <c r="H63" s="106"/>
      <c r="I63" s="1"/>
      <c r="J63" s="1"/>
      <c r="K63" s="1"/>
      <c r="L63" s="1"/>
      <c r="M63" s="1"/>
      <c r="N63" s="1"/>
      <c r="O63" s="1"/>
      <c r="P63" s="1"/>
      <c r="Q63" s="1"/>
      <c r="S63" s="1"/>
    </row>
    <row r="64" spans="1:19" s="19" customFormat="1" ht="38.1" customHeight="1">
      <c r="A64" s="1"/>
      <c r="B64" s="1"/>
      <c r="C64" s="1"/>
      <c r="D64" s="1"/>
      <c r="E64" s="1"/>
      <c r="F64" s="1"/>
      <c r="G64" s="1"/>
      <c r="H64" s="106"/>
      <c r="I64" s="1"/>
      <c r="J64" s="1"/>
      <c r="K64" s="1"/>
      <c r="L64" s="1"/>
      <c r="M64" s="1"/>
      <c r="N64" s="1"/>
      <c r="O64" s="1"/>
      <c r="P64" s="1"/>
      <c r="Q64" s="1"/>
      <c r="S64" s="1"/>
    </row>
    <row r="65" spans="1:19" s="19" customFormat="1" ht="38.1" customHeight="1">
      <c r="A65" s="1"/>
      <c r="B65" s="1"/>
      <c r="C65" s="1"/>
      <c r="D65" s="1"/>
      <c r="E65" s="1"/>
      <c r="F65" s="1"/>
      <c r="G65" s="1"/>
      <c r="H65" s="106"/>
      <c r="I65" s="1"/>
      <c r="J65" s="1"/>
      <c r="K65" s="1"/>
      <c r="L65" s="1"/>
      <c r="M65" s="1"/>
      <c r="N65" s="1"/>
      <c r="O65" s="1"/>
      <c r="P65" s="1"/>
      <c r="Q65" s="1"/>
      <c r="S65" s="1"/>
    </row>
    <row r="66" spans="1:19" s="19" customFormat="1" ht="38.1" customHeight="1">
      <c r="A66" s="1"/>
      <c r="B66" s="1"/>
      <c r="C66" s="1"/>
      <c r="D66" s="1"/>
      <c r="E66" s="1"/>
      <c r="F66" s="1"/>
      <c r="G66" s="1"/>
      <c r="H66" s="106"/>
      <c r="I66" s="1"/>
      <c r="J66" s="1"/>
      <c r="K66" s="1"/>
      <c r="L66" s="1"/>
      <c r="M66" s="1"/>
      <c r="N66" s="1"/>
      <c r="O66" s="1"/>
      <c r="P66" s="1"/>
      <c r="Q66" s="1"/>
      <c r="S66" s="1"/>
    </row>
    <row r="67" spans="1:19" s="19" customFormat="1" ht="38.1" customHeight="1">
      <c r="A67" s="1"/>
      <c r="B67" s="1"/>
      <c r="C67" s="1"/>
      <c r="D67" s="1"/>
      <c r="E67" s="1"/>
      <c r="F67" s="1"/>
      <c r="G67" s="1"/>
      <c r="H67" s="106"/>
      <c r="I67" s="1"/>
      <c r="J67" s="1"/>
      <c r="K67" s="1"/>
      <c r="L67" s="1"/>
      <c r="M67" s="1"/>
      <c r="N67" s="1"/>
      <c r="O67" s="1"/>
      <c r="P67" s="1"/>
      <c r="Q67" s="1"/>
      <c r="S67" s="1"/>
    </row>
    <row r="68" spans="1:19" s="19" customFormat="1" ht="38.1" customHeight="1">
      <c r="A68" s="1"/>
      <c r="B68" s="1"/>
      <c r="C68" s="1"/>
      <c r="D68" s="1"/>
      <c r="E68" s="1"/>
      <c r="F68" s="1"/>
      <c r="G68" s="1"/>
      <c r="H68" s="106"/>
      <c r="I68" s="1"/>
      <c r="J68" s="1"/>
      <c r="K68" s="1"/>
      <c r="L68" s="1"/>
      <c r="M68" s="1"/>
      <c r="N68" s="1"/>
      <c r="O68" s="1"/>
      <c r="P68" s="1"/>
      <c r="Q68" s="1"/>
      <c r="S68" s="1"/>
    </row>
    <row r="69" spans="1:19" s="19" customFormat="1" ht="38.1" customHeight="1">
      <c r="A69" s="1"/>
      <c r="B69" s="1"/>
      <c r="C69" s="1"/>
      <c r="D69" s="1"/>
      <c r="E69" s="1"/>
      <c r="F69" s="1"/>
      <c r="G69" s="1"/>
      <c r="H69" s="106"/>
      <c r="I69" s="1"/>
      <c r="J69" s="1"/>
      <c r="K69" s="1"/>
      <c r="L69" s="1"/>
      <c r="M69" s="1"/>
      <c r="N69" s="1"/>
      <c r="O69" s="1"/>
      <c r="P69" s="1"/>
      <c r="Q69" s="1"/>
      <c r="S69" s="1"/>
    </row>
    <row r="70" spans="1:19" s="19" customFormat="1" ht="38.1" customHeight="1">
      <c r="A70" s="1"/>
      <c r="B70" s="1"/>
      <c r="C70" s="1"/>
      <c r="D70" s="1"/>
      <c r="E70" s="1"/>
      <c r="F70" s="1"/>
      <c r="G70" s="1"/>
      <c r="H70" s="106"/>
      <c r="I70" s="1"/>
      <c r="J70" s="1"/>
      <c r="K70" s="1"/>
      <c r="L70" s="1"/>
      <c r="M70" s="1"/>
      <c r="N70" s="1"/>
      <c r="O70" s="1"/>
      <c r="P70" s="1"/>
      <c r="Q70" s="1"/>
      <c r="S70" s="1"/>
    </row>
    <row r="71" spans="1:19" s="19" customFormat="1" ht="38.1" customHeight="1">
      <c r="A71" s="1"/>
      <c r="B71" s="1"/>
      <c r="C71" s="1"/>
      <c r="D71" s="1"/>
      <c r="E71" s="1"/>
      <c r="F71" s="1"/>
      <c r="G71" s="1"/>
      <c r="H71" s="106"/>
      <c r="I71" s="1"/>
      <c r="J71" s="1"/>
      <c r="K71" s="1"/>
      <c r="L71" s="1"/>
      <c r="M71" s="1"/>
      <c r="N71" s="1"/>
      <c r="O71" s="1"/>
      <c r="P71" s="1"/>
      <c r="Q71" s="1"/>
      <c r="S71" s="1"/>
    </row>
    <row r="72" spans="1:19" s="19" customFormat="1" ht="38.1" customHeight="1">
      <c r="A72" s="1"/>
      <c r="B72" s="1"/>
      <c r="C72" s="1"/>
      <c r="D72" s="1"/>
      <c r="E72" s="1"/>
      <c r="F72" s="1"/>
      <c r="G72" s="1"/>
      <c r="H72" s="106"/>
      <c r="I72" s="1"/>
      <c r="J72" s="1"/>
      <c r="K72" s="1"/>
      <c r="L72" s="1"/>
      <c r="M72" s="1"/>
      <c r="N72" s="1"/>
      <c r="O72" s="1"/>
      <c r="P72" s="1"/>
      <c r="Q72" s="1"/>
      <c r="S72" s="1"/>
    </row>
    <row r="73" spans="1:19" s="19" customFormat="1" ht="38.1" customHeight="1">
      <c r="A73" s="1"/>
      <c r="B73" s="1"/>
      <c r="C73" s="1"/>
      <c r="D73" s="1"/>
      <c r="E73" s="1"/>
      <c r="F73" s="1"/>
      <c r="G73" s="1"/>
      <c r="H73" s="106"/>
      <c r="I73" s="1"/>
      <c r="J73" s="1"/>
      <c r="K73" s="1"/>
      <c r="L73" s="1"/>
      <c r="M73" s="1"/>
      <c r="N73" s="1"/>
      <c r="O73" s="1"/>
      <c r="P73" s="1"/>
      <c r="Q73" s="1"/>
      <c r="S73" s="1"/>
    </row>
    <row r="74" spans="1:19" s="19" customFormat="1" ht="38.1" customHeight="1">
      <c r="A74" s="1"/>
      <c r="B74" s="1"/>
      <c r="C74" s="1"/>
      <c r="D74" s="1"/>
      <c r="E74" s="1"/>
      <c r="F74" s="1"/>
      <c r="G74" s="1"/>
      <c r="H74" s="106"/>
      <c r="I74" s="1"/>
      <c r="J74" s="1"/>
      <c r="K74" s="1"/>
      <c r="L74" s="1"/>
      <c r="M74" s="1"/>
      <c r="N74" s="1"/>
      <c r="O74" s="1"/>
      <c r="P74" s="1"/>
      <c r="Q74" s="1"/>
      <c r="S74" s="1"/>
    </row>
    <row r="75" spans="1:19" s="19" customFormat="1" ht="38.1" customHeight="1">
      <c r="A75" s="1"/>
      <c r="B75" s="1"/>
      <c r="C75" s="1"/>
      <c r="D75" s="1"/>
      <c r="E75" s="1"/>
      <c r="F75" s="1"/>
      <c r="G75" s="1"/>
      <c r="H75" s="106"/>
      <c r="I75" s="1"/>
      <c r="J75" s="1"/>
      <c r="K75" s="1"/>
      <c r="L75" s="1"/>
      <c r="M75" s="1"/>
      <c r="N75" s="1"/>
      <c r="O75" s="1"/>
      <c r="P75" s="1"/>
      <c r="Q75" s="1"/>
      <c r="S75" s="1"/>
    </row>
  </sheetData>
  <mergeCells count="11">
    <mergeCell ref="P53:P54"/>
    <mergeCell ref="H36:L36"/>
    <mergeCell ref="A53:E54"/>
    <mergeCell ref="F53:K54"/>
    <mergeCell ref="L53:O54"/>
    <mergeCell ref="A30:A34"/>
    <mergeCell ref="A1:P1"/>
    <mergeCell ref="A2:P2"/>
    <mergeCell ref="A5:A11"/>
    <mergeCell ref="A14:A23"/>
    <mergeCell ref="A26:A27"/>
  </mergeCells>
  <printOptions horizontalCentered="1" verticalCentered="1"/>
  <pageMargins left="0" right="0" top="0" bottom="0" header="0" footer="0"/>
  <pageSetup paperSize="9" scale="55" fitToHeight="0" orientation="landscape" r:id="rId1"/>
  <rowBreaks count="1" manualBreakCount="1">
    <brk id="28" max="1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R55"/>
  <sheetViews>
    <sheetView tabSelected="1" view="pageBreakPreview" topLeftCell="E1" zoomScale="90" zoomScaleNormal="100" zoomScaleSheetLayoutView="90" workbookViewId="0">
      <selection activeCell="L13" sqref="L13"/>
    </sheetView>
  </sheetViews>
  <sheetFormatPr defaultColWidth="13.42578125" defaultRowHeight="20.100000000000001" customHeight="1"/>
  <cols>
    <col min="1" max="1" width="13.5703125" style="90" bestFit="1" customWidth="1"/>
    <col min="2" max="2" width="10" style="19" bestFit="1" customWidth="1"/>
    <col min="3" max="4" width="13" style="19" bestFit="1" customWidth="1"/>
    <col min="5" max="5" width="33.5703125" style="19" bestFit="1" customWidth="1"/>
    <col min="6" max="6" width="10.28515625" style="19" bestFit="1" customWidth="1"/>
    <col min="7" max="7" width="17.28515625" style="19" bestFit="1" customWidth="1"/>
    <col min="8" max="8" width="14.28515625" style="19" bestFit="1" customWidth="1"/>
    <col min="9" max="9" width="12.140625" style="19" bestFit="1" customWidth="1"/>
    <col min="10" max="10" width="10.7109375" style="19" bestFit="1" customWidth="1"/>
    <col min="11" max="11" width="14" style="19" bestFit="1" customWidth="1"/>
    <col min="12" max="12" width="19.28515625" style="19" bestFit="1" customWidth="1"/>
    <col min="13" max="13" width="20.85546875" style="19" customWidth="1"/>
    <col min="14" max="14" width="19.28515625" style="19" bestFit="1" customWidth="1"/>
    <col min="15" max="15" width="13" style="19" bestFit="1" customWidth="1"/>
    <col min="16" max="16" width="18.5703125" style="19" bestFit="1" customWidth="1"/>
    <col min="17" max="17" width="11" style="19" customWidth="1"/>
    <col min="18" max="18" width="13" style="19" bestFit="1" customWidth="1"/>
    <col min="19" max="19" width="14.28515625" style="19" bestFit="1" customWidth="1"/>
    <col min="20" max="16384" width="13.42578125" style="19"/>
  </cols>
  <sheetData>
    <row r="1" spans="1:18" s="71" customFormat="1" ht="20.100000000000001" customHeight="1" thickBot="1">
      <c r="A1" s="124" t="s">
        <v>386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6"/>
      <c r="Q1" s="19"/>
    </row>
    <row r="2" spans="1:18" ht="20.100000000000001" customHeight="1" thickBot="1">
      <c r="A2" s="124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6"/>
    </row>
    <row r="3" spans="1:18" ht="20.100000000000001" customHeight="1">
      <c r="A3" s="2"/>
      <c r="B3" s="3" t="s">
        <v>1</v>
      </c>
      <c r="C3" s="4" t="s">
        <v>2</v>
      </c>
      <c r="D3" s="4" t="s">
        <v>3</v>
      </c>
      <c r="E3" s="3" t="s">
        <v>4</v>
      </c>
      <c r="F3" s="3" t="s">
        <v>5</v>
      </c>
      <c r="G3" s="5" t="s">
        <v>6</v>
      </c>
      <c r="H3" s="3"/>
      <c r="I3" s="3" t="s">
        <v>7</v>
      </c>
      <c r="J3" s="6" t="s">
        <v>8</v>
      </c>
      <c r="K3" s="7"/>
      <c r="L3" s="3" t="s">
        <v>9</v>
      </c>
      <c r="M3" s="3" t="s">
        <v>10</v>
      </c>
      <c r="N3" s="3" t="s">
        <v>11</v>
      </c>
      <c r="O3" s="8" t="s">
        <v>12</v>
      </c>
      <c r="P3" s="9"/>
    </row>
    <row r="4" spans="1:18" ht="20.100000000000001" customHeight="1">
      <c r="A4" s="10" t="s">
        <v>13</v>
      </c>
      <c r="B4" s="3" t="s">
        <v>14</v>
      </c>
      <c r="C4" s="4" t="s">
        <v>15</v>
      </c>
      <c r="D4" s="4" t="s">
        <v>3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6" t="s">
        <v>21</v>
      </c>
      <c r="K4" s="7" t="s">
        <v>22</v>
      </c>
      <c r="L4" s="3" t="s">
        <v>23</v>
      </c>
      <c r="M4" s="3" t="s">
        <v>24</v>
      </c>
      <c r="N4" s="3" t="s">
        <v>25</v>
      </c>
      <c r="O4" s="8" t="s">
        <v>26</v>
      </c>
      <c r="P4" s="11" t="s">
        <v>27</v>
      </c>
    </row>
    <row r="5" spans="1:18" ht="20.100000000000001" customHeight="1">
      <c r="A5" s="129" t="s">
        <v>239</v>
      </c>
      <c r="B5" s="112" t="s">
        <v>366</v>
      </c>
      <c r="C5" s="13">
        <v>45777</v>
      </c>
      <c r="D5" s="13">
        <v>45777</v>
      </c>
      <c r="E5" s="12" t="s">
        <v>293</v>
      </c>
      <c r="F5" s="83" t="s">
        <v>294</v>
      </c>
      <c r="G5" s="12" t="s">
        <v>295</v>
      </c>
      <c r="H5" s="20" t="s">
        <v>296</v>
      </c>
      <c r="I5" s="12" t="s">
        <v>297</v>
      </c>
      <c r="J5" s="15" t="s">
        <v>320</v>
      </c>
      <c r="K5" s="12" t="s">
        <v>32</v>
      </c>
      <c r="L5" s="12" t="s">
        <v>298</v>
      </c>
      <c r="M5" s="16" t="s">
        <v>34</v>
      </c>
      <c r="N5" s="16" t="s">
        <v>299</v>
      </c>
      <c r="O5" s="13">
        <v>45808</v>
      </c>
      <c r="P5" s="17">
        <v>45808</v>
      </c>
      <c r="R5" s="84"/>
    </row>
    <row r="6" spans="1:18" ht="20.100000000000001" customHeight="1">
      <c r="A6" s="130"/>
      <c r="B6" s="12">
        <v>21078</v>
      </c>
      <c r="C6" s="13">
        <v>45831</v>
      </c>
      <c r="D6" s="13">
        <v>45831</v>
      </c>
      <c r="E6" s="12" t="s">
        <v>300</v>
      </c>
      <c r="F6" s="83" t="s">
        <v>301</v>
      </c>
      <c r="G6" s="12" t="s">
        <v>302</v>
      </c>
      <c r="H6" s="20" t="s">
        <v>303</v>
      </c>
      <c r="I6" s="12" t="s">
        <v>304</v>
      </c>
      <c r="J6" s="15" t="s">
        <v>321</v>
      </c>
      <c r="K6" s="12" t="s">
        <v>32</v>
      </c>
      <c r="L6" s="12" t="s">
        <v>42</v>
      </c>
      <c r="M6" s="16" t="s">
        <v>34</v>
      </c>
      <c r="N6" s="16" t="s">
        <v>305</v>
      </c>
      <c r="O6" s="13"/>
      <c r="P6" s="17"/>
      <c r="R6" s="84"/>
    </row>
    <row r="7" spans="1:18" ht="20.100000000000001" customHeight="1">
      <c r="A7" s="130"/>
      <c r="B7" s="12" t="s">
        <v>28</v>
      </c>
      <c r="C7" s="13">
        <v>45937</v>
      </c>
      <c r="D7" s="13">
        <v>45937</v>
      </c>
      <c r="E7" s="12" t="s">
        <v>29</v>
      </c>
      <c r="F7" s="14" t="s">
        <v>30</v>
      </c>
      <c r="G7" s="12" t="s">
        <v>306</v>
      </c>
      <c r="H7" s="33" t="s">
        <v>307</v>
      </c>
      <c r="I7" s="86" t="s">
        <v>35</v>
      </c>
      <c r="J7" s="15">
        <v>1947</v>
      </c>
      <c r="K7" s="87" t="s">
        <v>32</v>
      </c>
      <c r="L7" s="12" t="s">
        <v>42</v>
      </c>
      <c r="M7" s="16" t="s">
        <v>308</v>
      </c>
      <c r="N7" s="16" t="s">
        <v>309</v>
      </c>
      <c r="O7" s="13">
        <v>45930</v>
      </c>
      <c r="P7" s="17">
        <v>45849</v>
      </c>
      <c r="R7" s="84"/>
    </row>
    <row r="8" spans="1:18" ht="20.100000000000001" customHeight="1">
      <c r="A8" s="130"/>
      <c r="B8" s="12" t="s">
        <v>28</v>
      </c>
      <c r="C8" s="13">
        <v>45915</v>
      </c>
      <c r="D8" s="13">
        <v>45998</v>
      </c>
      <c r="E8" s="12" t="s">
        <v>29</v>
      </c>
      <c r="F8" s="14" t="s">
        <v>30</v>
      </c>
      <c r="G8" s="16" t="s">
        <v>168</v>
      </c>
      <c r="H8" s="20" t="s">
        <v>169</v>
      </c>
      <c r="I8" s="86" t="s">
        <v>130</v>
      </c>
      <c r="J8" s="15">
        <v>2700</v>
      </c>
      <c r="K8" s="87" t="s">
        <v>41</v>
      </c>
      <c r="L8" s="12" t="s">
        <v>42</v>
      </c>
      <c r="M8" s="16"/>
      <c r="N8" s="13"/>
      <c r="O8" s="13">
        <v>45998</v>
      </c>
      <c r="P8" s="17">
        <v>45870</v>
      </c>
      <c r="R8" s="84"/>
    </row>
    <row r="9" spans="1:18" ht="20.100000000000001" customHeight="1" thickBot="1">
      <c r="A9" s="131"/>
      <c r="B9" s="12" t="s">
        <v>28</v>
      </c>
      <c r="C9" s="13">
        <v>45991</v>
      </c>
      <c r="D9" s="13">
        <v>45998</v>
      </c>
      <c r="E9" s="12" t="s">
        <v>29</v>
      </c>
      <c r="F9" s="14" t="s">
        <v>30</v>
      </c>
      <c r="G9" s="16" t="s">
        <v>170</v>
      </c>
      <c r="H9" s="20" t="s">
        <v>171</v>
      </c>
      <c r="I9" s="86" t="s">
        <v>130</v>
      </c>
      <c r="J9" s="15">
        <v>700</v>
      </c>
      <c r="K9" s="87" t="s">
        <v>41</v>
      </c>
      <c r="L9" s="12" t="s">
        <v>42</v>
      </c>
      <c r="M9" s="16" t="s">
        <v>319</v>
      </c>
      <c r="N9" s="13"/>
      <c r="O9" s="13">
        <v>45998</v>
      </c>
      <c r="P9" s="17">
        <v>45870</v>
      </c>
      <c r="R9" s="84"/>
    </row>
    <row r="10" spans="1:18" ht="20.100000000000001" customHeight="1" thickBot="1">
      <c r="A10" s="24"/>
      <c r="B10" s="25"/>
      <c r="C10" s="26"/>
      <c r="D10" s="26"/>
      <c r="E10" s="25"/>
      <c r="F10" s="27"/>
      <c r="G10" s="25"/>
      <c r="H10" s="28"/>
      <c r="I10" s="25"/>
      <c r="J10" s="29">
        <v>5347</v>
      </c>
      <c r="K10" s="25"/>
      <c r="L10" s="25"/>
      <c r="M10" s="30"/>
      <c r="N10" s="31"/>
      <c r="O10" s="26"/>
      <c r="P10" s="32"/>
      <c r="R10" s="84"/>
    </row>
    <row r="11" spans="1:18" ht="20.100000000000001" customHeight="1">
      <c r="A11" s="2" t="s">
        <v>13</v>
      </c>
      <c r="B11" s="3" t="s">
        <v>14</v>
      </c>
      <c r="C11" s="4" t="s">
        <v>15</v>
      </c>
      <c r="D11" s="4" t="s">
        <v>3</v>
      </c>
      <c r="E11" s="3" t="s">
        <v>16</v>
      </c>
      <c r="F11" s="3" t="s">
        <v>17</v>
      </c>
      <c r="G11" s="3" t="s">
        <v>18</v>
      </c>
      <c r="H11" s="3" t="s">
        <v>19</v>
      </c>
      <c r="I11" s="3" t="s">
        <v>20</v>
      </c>
      <c r="J11" s="6" t="s">
        <v>21</v>
      </c>
      <c r="K11" s="7" t="s">
        <v>22</v>
      </c>
      <c r="L11" s="3" t="s">
        <v>23</v>
      </c>
      <c r="M11" s="3" t="s">
        <v>24</v>
      </c>
      <c r="N11" s="3" t="s">
        <v>25</v>
      </c>
      <c r="O11" s="8" t="s">
        <v>26</v>
      </c>
      <c r="P11" s="9" t="s">
        <v>27</v>
      </c>
      <c r="R11" s="84"/>
    </row>
    <row r="12" spans="1:18" ht="20.100000000000001" customHeight="1">
      <c r="A12" s="129" t="s">
        <v>240</v>
      </c>
      <c r="B12" s="12" t="s">
        <v>28</v>
      </c>
      <c r="C12" s="13">
        <v>45991</v>
      </c>
      <c r="D12" s="13">
        <v>45998</v>
      </c>
      <c r="E12" s="12" t="s">
        <v>29</v>
      </c>
      <c r="F12" s="14" t="s">
        <v>30</v>
      </c>
      <c r="G12" s="16" t="s">
        <v>170</v>
      </c>
      <c r="H12" s="20" t="s">
        <v>171</v>
      </c>
      <c r="I12" s="86" t="s">
        <v>130</v>
      </c>
      <c r="J12" s="15">
        <v>2000</v>
      </c>
      <c r="K12" s="87" t="s">
        <v>41</v>
      </c>
      <c r="L12" s="12" t="s">
        <v>42</v>
      </c>
      <c r="M12" s="16" t="s">
        <v>319</v>
      </c>
      <c r="N12" s="13"/>
      <c r="O12" s="13">
        <v>45998</v>
      </c>
      <c r="P12" s="17">
        <v>45870</v>
      </c>
      <c r="R12" s="84"/>
    </row>
    <row r="13" spans="1:18" ht="20.100000000000001" customHeight="1">
      <c r="A13" s="130"/>
      <c r="B13" s="55" t="s">
        <v>28</v>
      </c>
      <c r="C13" s="56">
        <v>46006</v>
      </c>
      <c r="D13" s="56">
        <v>46006</v>
      </c>
      <c r="E13" s="55" t="s">
        <v>29</v>
      </c>
      <c r="F13" s="57" t="s">
        <v>30</v>
      </c>
      <c r="G13" s="55" t="s">
        <v>173</v>
      </c>
      <c r="H13" s="48" t="s">
        <v>174</v>
      </c>
      <c r="I13" s="88" t="s">
        <v>35</v>
      </c>
      <c r="J13" s="15">
        <v>134</v>
      </c>
      <c r="K13" s="89" t="s">
        <v>32</v>
      </c>
      <c r="L13" s="55" t="s">
        <v>50</v>
      </c>
      <c r="M13" s="16"/>
      <c r="N13" s="56"/>
      <c r="O13" s="56">
        <v>46053</v>
      </c>
      <c r="P13" s="58">
        <v>45850</v>
      </c>
      <c r="R13" s="84"/>
    </row>
    <row r="14" spans="1:18" ht="20.100000000000001" customHeight="1">
      <c r="A14" s="130"/>
      <c r="B14" s="12" t="s">
        <v>28</v>
      </c>
      <c r="C14" s="13">
        <v>45930</v>
      </c>
      <c r="D14" s="13">
        <v>46006</v>
      </c>
      <c r="E14" s="12" t="s">
        <v>29</v>
      </c>
      <c r="F14" s="14" t="s">
        <v>30</v>
      </c>
      <c r="G14" s="12" t="s">
        <v>175</v>
      </c>
      <c r="H14" s="20" t="s">
        <v>176</v>
      </c>
      <c r="I14" s="86" t="s">
        <v>74</v>
      </c>
      <c r="J14" s="15">
        <v>620</v>
      </c>
      <c r="K14" s="87" t="s">
        <v>32</v>
      </c>
      <c r="L14" s="12" t="s">
        <v>177</v>
      </c>
      <c r="M14" s="16"/>
      <c r="N14" s="13"/>
      <c r="O14" s="13">
        <v>46006</v>
      </c>
      <c r="P14" s="17">
        <v>45870</v>
      </c>
      <c r="R14" s="84"/>
    </row>
    <row r="15" spans="1:18" ht="20.100000000000001" customHeight="1" thickBot="1">
      <c r="A15" s="131"/>
      <c r="B15" s="12" t="s">
        <v>28</v>
      </c>
      <c r="C15" s="13">
        <v>46006</v>
      </c>
      <c r="D15" s="13">
        <v>46006</v>
      </c>
      <c r="E15" s="12" t="s">
        <v>178</v>
      </c>
      <c r="F15" s="14" t="s">
        <v>30</v>
      </c>
      <c r="G15" s="12" t="s">
        <v>179</v>
      </c>
      <c r="H15" s="20" t="s">
        <v>180</v>
      </c>
      <c r="I15" s="86" t="s">
        <v>110</v>
      </c>
      <c r="J15" s="15">
        <v>500</v>
      </c>
      <c r="K15" s="87" t="s">
        <v>32</v>
      </c>
      <c r="L15" s="12" t="s">
        <v>36</v>
      </c>
      <c r="M15" s="16" t="s">
        <v>325</v>
      </c>
      <c r="N15" s="13"/>
      <c r="O15" s="13">
        <v>46006</v>
      </c>
      <c r="P15" s="17">
        <v>45807</v>
      </c>
      <c r="R15" s="84"/>
    </row>
    <row r="16" spans="1:18" ht="20.100000000000001" customHeight="1" thickBot="1">
      <c r="A16" s="24"/>
      <c r="B16" s="25"/>
      <c r="C16" s="26"/>
      <c r="D16" s="26"/>
      <c r="E16" s="25"/>
      <c r="F16" s="27"/>
      <c r="G16" s="25"/>
      <c r="H16" s="28"/>
      <c r="I16" s="25"/>
      <c r="J16" s="29">
        <v>3254</v>
      </c>
      <c r="K16" s="25"/>
      <c r="L16" s="25"/>
      <c r="M16" s="30"/>
      <c r="N16" s="31"/>
      <c r="O16" s="26"/>
      <c r="P16" s="32"/>
      <c r="R16" s="84"/>
    </row>
    <row r="17" spans="1:18" ht="20.100000000000001" customHeight="1">
      <c r="A17" s="2" t="s">
        <v>13</v>
      </c>
      <c r="B17" s="3" t="s">
        <v>14</v>
      </c>
      <c r="C17" s="4" t="s">
        <v>15</v>
      </c>
      <c r="D17" s="4" t="s">
        <v>3</v>
      </c>
      <c r="E17" s="3" t="s">
        <v>16</v>
      </c>
      <c r="F17" s="3" t="s">
        <v>17</v>
      </c>
      <c r="G17" s="3" t="s">
        <v>18</v>
      </c>
      <c r="H17" s="3" t="s">
        <v>19</v>
      </c>
      <c r="I17" s="3" t="s">
        <v>20</v>
      </c>
      <c r="J17" s="6" t="s">
        <v>21</v>
      </c>
      <c r="K17" s="7" t="s">
        <v>22</v>
      </c>
      <c r="L17" s="3" t="s">
        <v>23</v>
      </c>
      <c r="M17" s="3" t="s">
        <v>24</v>
      </c>
      <c r="N17" s="3" t="s">
        <v>25</v>
      </c>
      <c r="O17" s="8" t="s">
        <v>26</v>
      </c>
      <c r="P17" s="9" t="s">
        <v>27</v>
      </c>
      <c r="R17" s="84"/>
    </row>
    <row r="18" spans="1:18" ht="20.100000000000001" customHeight="1">
      <c r="A18" s="129" t="s">
        <v>249</v>
      </c>
      <c r="B18" s="12" t="s">
        <v>28</v>
      </c>
      <c r="C18" s="13">
        <v>46006</v>
      </c>
      <c r="D18" s="13">
        <v>46006</v>
      </c>
      <c r="E18" s="12" t="s">
        <v>178</v>
      </c>
      <c r="F18" s="14" t="s">
        <v>30</v>
      </c>
      <c r="G18" s="12" t="s">
        <v>179</v>
      </c>
      <c r="H18" s="20" t="s">
        <v>180</v>
      </c>
      <c r="I18" s="86" t="s">
        <v>110</v>
      </c>
      <c r="J18" s="15">
        <v>780</v>
      </c>
      <c r="K18" s="87" t="s">
        <v>32</v>
      </c>
      <c r="L18" s="12" t="s">
        <v>36</v>
      </c>
      <c r="M18" s="16" t="s">
        <v>325</v>
      </c>
      <c r="N18" s="13"/>
      <c r="O18" s="13">
        <v>46006</v>
      </c>
      <c r="P18" s="17">
        <v>45807</v>
      </c>
      <c r="R18" s="84"/>
    </row>
    <row r="19" spans="1:18" ht="20.100000000000001" customHeight="1">
      <c r="A19" s="130"/>
      <c r="B19" s="12" t="s">
        <v>28</v>
      </c>
      <c r="C19" s="13">
        <v>45961</v>
      </c>
      <c r="D19" s="13">
        <v>45961</v>
      </c>
      <c r="E19" s="12" t="s">
        <v>29</v>
      </c>
      <c r="F19" s="14" t="s">
        <v>30</v>
      </c>
      <c r="G19" s="12" t="s">
        <v>310</v>
      </c>
      <c r="H19" s="20" t="s">
        <v>311</v>
      </c>
      <c r="I19" s="86" t="s">
        <v>58</v>
      </c>
      <c r="J19" s="15">
        <v>1003</v>
      </c>
      <c r="K19" s="87" t="s">
        <v>32</v>
      </c>
      <c r="L19" s="12" t="s">
        <v>122</v>
      </c>
      <c r="M19" s="16"/>
      <c r="N19" s="13" t="s">
        <v>312</v>
      </c>
      <c r="O19" s="13">
        <v>45961</v>
      </c>
      <c r="P19" s="17">
        <v>45870</v>
      </c>
      <c r="R19" s="84"/>
    </row>
    <row r="20" spans="1:18" ht="20.100000000000001" customHeight="1">
      <c r="A20" s="130"/>
      <c r="B20" s="12" t="s">
        <v>28</v>
      </c>
      <c r="C20" s="13">
        <v>45961</v>
      </c>
      <c r="D20" s="13">
        <v>45961</v>
      </c>
      <c r="E20" s="12" t="s">
        <v>29</v>
      </c>
      <c r="F20" s="14" t="s">
        <v>30</v>
      </c>
      <c r="G20" s="12" t="s">
        <v>313</v>
      </c>
      <c r="H20" s="20" t="s">
        <v>314</v>
      </c>
      <c r="I20" s="86" t="s">
        <v>58</v>
      </c>
      <c r="J20" s="15">
        <v>115</v>
      </c>
      <c r="K20" s="87" t="s">
        <v>32</v>
      </c>
      <c r="L20" s="12" t="s">
        <v>122</v>
      </c>
      <c r="M20" s="16"/>
      <c r="N20" s="13" t="s">
        <v>315</v>
      </c>
      <c r="O20" s="13">
        <v>45961</v>
      </c>
      <c r="P20" s="17">
        <v>45870</v>
      </c>
      <c r="R20" s="84"/>
    </row>
    <row r="21" spans="1:18" ht="20.100000000000001" customHeight="1">
      <c r="A21" s="130"/>
      <c r="B21" s="12" t="s">
        <v>28</v>
      </c>
      <c r="C21" s="13">
        <v>46022</v>
      </c>
      <c r="D21" s="13">
        <v>46022</v>
      </c>
      <c r="E21" s="12" t="s">
        <v>29</v>
      </c>
      <c r="F21" s="14" t="s">
        <v>30</v>
      </c>
      <c r="G21" s="12" t="s">
        <v>205</v>
      </c>
      <c r="H21" s="20" t="s">
        <v>206</v>
      </c>
      <c r="I21" s="86" t="s">
        <v>58</v>
      </c>
      <c r="J21" s="15">
        <v>101</v>
      </c>
      <c r="K21" s="87" t="s">
        <v>32</v>
      </c>
      <c r="L21" s="12" t="s">
        <v>33</v>
      </c>
      <c r="M21" s="16"/>
      <c r="N21" s="13"/>
      <c r="O21" s="13">
        <v>46022</v>
      </c>
      <c r="P21" s="17">
        <v>45849</v>
      </c>
      <c r="R21" s="84"/>
    </row>
    <row r="22" spans="1:18" ht="20.100000000000001" customHeight="1">
      <c r="A22" s="130"/>
      <c r="B22" s="12" t="s">
        <v>28</v>
      </c>
      <c r="C22" s="13">
        <v>46022</v>
      </c>
      <c r="D22" s="13">
        <v>46022</v>
      </c>
      <c r="E22" s="12" t="s">
        <v>29</v>
      </c>
      <c r="F22" s="14" t="s">
        <v>30</v>
      </c>
      <c r="G22" s="12" t="s">
        <v>184</v>
      </c>
      <c r="H22" s="20" t="s">
        <v>185</v>
      </c>
      <c r="I22" s="86" t="s">
        <v>74</v>
      </c>
      <c r="J22" s="15">
        <v>357</v>
      </c>
      <c r="K22" s="87" t="s">
        <v>32</v>
      </c>
      <c r="L22" s="12" t="s">
        <v>33</v>
      </c>
      <c r="M22" s="16"/>
      <c r="N22" s="13"/>
      <c r="O22" s="13">
        <v>46053</v>
      </c>
      <c r="P22" s="17">
        <v>45850</v>
      </c>
      <c r="R22" s="84"/>
    </row>
    <row r="23" spans="1:18" ht="20.100000000000001" customHeight="1">
      <c r="A23" s="130"/>
      <c r="B23" s="12" t="s">
        <v>28</v>
      </c>
      <c r="C23" s="13">
        <v>45930</v>
      </c>
      <c r="D23" s="13">
        <v>46022</v>
      </c>
      <c r="E23" s="55" t="s">
        <v>29</v>
      </c>
      <c r="F23" s="14" t="s">
        <v>30</v>
      </c>
      <c r="G23" s="12" t="s">
        <v>186</v>
      </c>
      <c r="H23" s="20" t="s">
        <v>187</v>
      </c>
      <c r="I23" s="86" t="s">
        <v>35</v>
      </c>
      <c r="J23" s="15">
        <v>337</v>
      </c>
      <c r="K23" s="87" t="s">
        <v>32</v>
      </c>
      <c r="L23" s="12" t="s">
        <v>188</v>
      </c>
      <c r="M23" s="16"/>
      <c r="N23" s="13"/>
      <c r="O23" s="13">
        <v>46022</v>
      </c>
      <c r="P23" s="17">
        <v>45884</v>
      </c>
      <c r="R23" s="84"/>
    </row>
    <row r="24" spans="1:18" ht="20.100000000000001" customHeight="1" thickBot="1">
      <c r="A24" s="131"/>
      <c r="B24" s="12" t="s">
        <v>28</v>
      </c>
      <c r="C24" s="13">
        <v>46022</v>
      </c>
      <c r="D24" s="13">
        <v>46022</v>
      </c>
      <c r="E24" s="12" t="s">
        <v>29</v>
      </c>
      <c r="F24" s="14" t="s">
        <v>30</v>
      </c>
      <c r="G24" s="12" t="s">
        <v>189</v>
      </c>
      <c r="H24" s="20" t="s">
        <v>190</v>
      </c>
      <c r="I24" s="86" t="s">
        <v>31</v>
      </c>
      <c r="J24" s="15">
        <v>501</v>
      </c>
      <c r="K24" s="87" t="s">
        <v>32</v>
      </c>
      <c r="L24" s="12" t="s">
        <v>89</v>
      </c>
      <c r="M24" s="16"/>
      <c r="N24" s="13"/>
      <c r="O24" s="13">
        <v>46022</v>
      </c>
      <c r="P24" s="17">
        <v>45835</v>
      </c>
      <c r="R24" s="84"/>
    </row>
    <row r="25" spans="1:18" ht="20.100000000000001" customHeight="1" thickBot="1">
      <c r="A25" s="24"/>
      <c r="B25" s="25"/>
      <c r="C25" s="26"/>
      <c r="D25" s="26"/>
      <c r="E25" s="25"/>
      <c r="F25" s="27"/>
      <c r="G25" s="25"/>
      <c r="H25" s="28"/>
      <c r="I25" s="25"/>
      <c r="J25" s="29">
        <v>3194</v>
      </c>
      <c r="K25" s="25"/>
      <c r="L25" s="25"/>
      <c r="M25" s="30"/>
      <c r="N25" s="31"/>
      <c r="O25" s="26"/>
      <c r="P25" s="32"/>
      <c r="R25" s="84"/>
    </row>
    <row r="26" spans="1:18" ht="20.100000000000001" customHeight="1">
      <c r="A26" s="2" t="s">
        <v>13</v>
      </c>
      <c r="B26" s="3" t="s">
        <v>14</v>
      </c>
      <c r="C26" s="4" t="s">
        <v>15</v>
      </c>
      <c r="D26" s="4" t="s">
        <v>3</v>
      </c>
      <c r="E26" s="3" t="s">
        <v>16</v>
      </c>
      <c r="F26" s="3" t="s">
        <v>17</v>
      </c>
      <c r="G26" s="3" t="s">
        <v>18</v>
      </c>
      <c r="H26" s="3" t="s">
        <v>19</v>
      </c>
      <c r="I26" s="3" t="s">
        <v>20</v>
      </c>
      <c r="J26" s="6" t="s">
        <v>21</v>
      </c>
      <c r="K26" s="7" t="s">
        <v>22</v>
      </c>
      <c r="L26" s="3" t="s">
        <v>23</v>
      </c>
      <c r="M26" s="3" t="s">
        <v>24</v>
      </c>
      <c r="N26" s="3" t="s">
        <v>25</v>
      </c>
      <c r="O26" s="8" t="s">
        <v>26</v>
      </c>
      <c r="P26" s="9" t="s">
        <v>27</v>
      </c>
      <c r="R26" s="84"/>
    </row>
    <row r="27" spans="1:18" ht="20.100000000000001" customHeight="1">
      <c r="A27" s="129" t="s">
        <v>323</v>
      </c>
      <c r="B27" s="12" t="s">
        <v>28</v>
      </c>
      <c r="C27" s="13">
        <v>46022</v>
      </c>
      <c r="D27" s="13">
        <v>46022</v>
      </c>
      <c r="E27" s="12" t="s">
        <v>29</v>
      </c>
      <c r="F27" s="14" t="s">
        <v>30</v>
      </c>
      <c r="G27" s="12" t="s">
        <v>191</v>
      </c>
      <c r="H27" s="20" t="s">
        <v>192</v>
      </c>
      <c r="I27" s="86" t="s">
        <v>31</v>
      </c>
      <c r="J27" s="15">
        <v>1106</v>
      </c>
      <c r="K27" s="87" t="s">
        <v>32</v>
      </c>
      <c r="L27" s="12" t="s">
        <v>37</v>
      </c>
      <c r="M27" s="16"/>
      <c r="N27" s="13"/>
      <c r="O27" s="13">
        <v>46053</v>
      </c>
      <c r="P27" s="17">
        <v>45850</v>
      </c>
      <c r="R27" s="84"/>
    </row>
    <row r="28" spans="1:18" ht="20.100000000000001" customHeight="1">
      <c r="A28" s="130"/>
      <c r="B28" s="12" t="s">
        <v>28</v>
      </c>
      <c r="C28" s="13">
        <v>46022</v>
      </c>
      <c r="D28" s="13">
        <v>46022</v>
      </c>
      <c r="E28" s="12" t="s">
        <v>29</v>
      </c>
      <c r="F28" s="14" t="s">
        <v>30</v>
      </c>
      <c r="G28" s="12" t="s">
        <v>193</v>
      </c>
      <c r="H28" s="20" t="s">
        <v>194</v>
      </c>
      <c r="I28" s="86" t="s">
        <v>31</v>
      </c>
      <c r="J28" s="15">
        <v>709</v>
      </c>
      <c r="K28" s="87" t="s">
        <v>32</v>
      </c>
      <c r="L28" s="12" t="s">
        <v>33</v>
      </c>
      <c r="M28" s="16"/>
      <c r="N28" s="13"/>
      <c r="O28" s="13">
        <v>46053</v>
      </c>
      <c r="P28" s="17">
        <v>45850</v>
      </c>
      <c r="R28" s="84"/>
    </row>
    <row r="29" spans="1:18" ht="20.100000000000001" customHeight="1">
      <c r="A29" s="130"/>
      <c r="B29" s="12" t="s">
        <v>28</v>
      </c>
      <c r="C29" s="13">
        <v>46022</v>
      </c>
      <c r="D29" s="13">
        <v>46022</v>
      </c>
      <c r="E29" s="12" t="s">
        <v>106</v>
      </c>
      <c r="F29" s="14" t="s">
        <v>30</v>
      </c>
      <c r="G29" s="12" t="s">
        <v>195</v>
      </c>
      <c r="H29" s="20" t="s">
        <v>196</v>
      </c>
      <c r="I29" s="86" t="s">
        <v>133</v>
      </c>
      <c r="J29" s="15">
        <v>345</v>
      </c>
      <c r="K29" s="87" t="s">
        <v>32</v>
      </c>
      <c r="L29" s="12" t="s">
        <v>42</v>
      </c>
      <c r="M29" s="16"/>
      <c r="N29" s="13"/>
      <c r="O29" s="13">
        <v>46022</v>
      </c>
      <c r="P29" s="17">
        <v>45835</v>
      </c>
      <c r="R29" s="84"/>
    </row>
    <row r="30" spans="1:18" ht="20.100000000000001" customHeight="1">
      <c r="A30" s="130"/>
      <c r="B30" s="12" t="s">
        <v>28</v>
      </c>
      <c r="C30" s="13">
        <v>45961</v>
      </c>
      <c r="D30" s="13">
        <v>46022</v>
      </c>
      <c r="E30" s="14" t="s">
        <v>29</v>
      </c>
      <c r="F30" s="14" t="s">
        <v>30</v>
      </c>
      <c r="G30" s="12" t="s">
        <v>207</v>
      </c>
      <c r="H30" s="20" t="s">
        <v>208</v>
      </c>
      <c r="I30" s="86" t="s">
        <v>130</v>
      </c>
      <c r="J30" s="15">
        <v>217</v>
      </c>
      <c r="K30" s="87" t="s">
        <v>32</v>
      </c>
      <c r="L30" s="12" t="s">
        <v>33</v>
      </c>
      <c r="M30" s="16"/>
      <c r="N30" s="13"/>
      <c r="O30" s="13">
        <v>46022</v>
      </c>
      <c r="P30" s="17">
        <v>45870</v>
      </c>
      <c r="R30" s="84"/>
    </row>
    <row r="31" spans="1:18" ht="20.100000000000001" customHeight="1">
      <c r="A31" s="130"/>
      <c r="B31" s="12" t="s">
        <v>28</v>
      </c>
      <c r="C31" s="13">
        <v>46022</v>
      </c>
      <c r="D31" s="13">
        <v>46022</v>
      </c>
      <c r="E31" s="12" t="s">
        <v>29</v>
      </c>
      <c r="F31" s="14" t="s">
        <v>30</v>
      </c>
      <c r="G31" s="12" t="s">
        <v>197</v>
      </c>
      <c r="H31" s="20" t="s">
        <v>198</v>
      </c>
      <c r="I31" s="86" t="s">
        <v>47</v>
      </c>
      <c r="J31" s="15">
        <v>126</v>
      </c>
      <c r="K31" s="87" t="s">
        <v>32</v>
      </c>
      <c r="L31" s="12" t="s">
        <v>84</v>
      </c>
      <c r="M31" s="16"/>
      <c r="N31" s="13"/>
      <c r="O31" s="13">
        <v>46053</v>
      </c>
      <c r="P31" s="17">
        <v>45849</v>
      </c>
      <c r="R31" s="84"/>
    </row>
    <row r="32" spans="1:18" ht="20.100000000000001" customHeight="1">
      <c r="A32" s="130"/>
      <c r="B32" s="12" t="s">
        <v>28</v>
      </c>
      <c r="C32" s="13">
        <v>46022</v>
      </c>
      <c r="D32" s="13">
        <v>46022</v>
      </c>
      <c r="E32" s="12" t="s">
        <v>29</v>
      </c>
      <c r="F32" s="14" t="s">
        <v>30</v>
      </c>
      <c r="G32" s="12" t="s">
        <v>199</v>
      </c>
      <c r="H32" s="20" t="s">
        <v>200</v>
      </c>
      <c r="I32" s="86" t="s">
        <v>53</v>
      </c>
      <c r="J32" s="15">
        <v>100</v>
      </c>
      <c r="K32" s="87" t="s">
        <v>32</v>
      </c>
      <c r="L32" s="12" t="s">
        <v>84</v>
      </c>
      <c r="M32" s="16"/>
      <c r="N32" s="13"/>
      <c r="O32" s="13">
        <v>46053</v>
      </c>
      <c r="P32" s="17">
        <v>45849</v>
      </c>
      <c r="R32" s="84"/>
    </row>
    <row r="33" spans="1:18" ht="20.100000000000001" customHeight="1">
      <c r="A33" s="130"/>
      <c r="B33" s="12" t="s">
        <v>28</v>
      </c>
      <c r="C33" s="13">
        <v>46022</v>
      </c>
      <c r="D33" s="13">
        <v>46022</v>
      </c>
      <c r="E33" s="12" t="s">
        <v>29</v>
      </c>
      <c r="F33" s="14" t="s">
        <v>30</v>
      </c>
      <c r="G33" s="12" t="s">
        <v>201</v>
      </c>
      <c r="H33" s="20" t="s">
        <v>202</v>
      </c>
      <c r="I33" s="86" t="s">
        <v>55</v>
      </c>
      <c r="J33" s="15">
        <v>188</v>
      </c>
      <c r="K33" s="87" t="s">
        <v>32</v>
      </c>
      <c r="L33" s="12" t="s">
        <v>84</v>
      </c>
      <c r="M33" s="16"/>
      <c r="N33" s="13"/>
      <c r="O33" s="13">
        <v>46022</v>
      </c>
      <c r="P33" s="17">
        <v>45870</v>
      </c>
      <c r="R33" s="84"/>
    </row>
    <row r="34" spans="1:18" ht="20.100000000000001" customHeight="1">
      <c r="A34" s="130"/>
      <c r="B34" s="12" t="s">
        <v>28</v>
      </c>
      <c r="C34" s="13">
        <v>46022</v>
      </c>
      <c r="D34" s="13">
        <v>46022</v>
      </c>
      <c r="E34" s="12" t="s">
        <v>29</v>
      </c>
      <c r="F34" s="14" t="s">
        <v>30</v>
      </c>
      <c r="G34" s="12" t="s">
        <v>203</v>
      </c>
      <c r="H34" s="20" t="s">
        <v>204</v>
      </c>
      <c r="I34" s="86" t="s">
        <v>55</v>
      </c>
      <c r="J34" s="15">
        <v>153</v>
      </c>
      <c r="K34" s="87" t="s">
        <v>32</v>
      </c>
      <c r="L34" s="12" t="s">
        <v>84</v>
      </c>
      <c r="M34" s="16"/>
      <c r="N34" s="13"/>
      <c r="O34" s="13">
        <v>46022</v>
      </c>
      <c r="P34" s="17">
        <v>45870</v>
      </c>
      <c r="R34" s="84"/>
    </row>
    <row r="35" spans="1:18" ht="20.100000000000001" customHeight="1" thickBot="1">
      <c r="A35" s="131"/>
      <c r="B35" s="12" t="s">
        <v>28</v>
      </c>
      <c r="C35" s="13">
        <v>45961</v>
      </c>
      <c r="D35" s="13">
        <v>45961</v>
      </c>
      <c r="E35" s="12" t="s">
        <v>29</v>
      </c>
      <c r="F35" s="14" t="s">
        <v>30</v>
      </c>
      <c r="G35" s="12" t="s">
        <v>181</v>
      </c>
      <c r="H35" s="20" t="s">
        <v>182</v>
      </c>
      <c r="I35" s="86" t="s">
        <v>55</v>
      </c>
      <c r="J35" s="15">
        <v>787</v>
      </c>
      <c r="K35" s="87" t="s">
        <v>56</v>
      </c>
      <c r="L35" s="12" t="s">
        <v>122</v>
      </c>
      <c r="M35" s="16"/>
      <c r="N35" s="13" t="s">
        <v>183</v>
      </c>
      <c r="O35" s="13">
        <v>45976</v>
      </c>
      <c r="P35" s="17">
        <v>45870</v>
      </c>
      <c r="R35" s="84"/>
    </row>
    <row r="36" spans="1:18" ht="20.100000000000001" customHeight="1" thickBot="1">
      <c r="A36" s="24" t="s">
        <v>322</v>
      </c>
      <c r="B36" s="25"/>
      <c r="C36" s="26"/>
      <c r="D36" s="26"/>
      <c r="E36" s="25"/>
      <c r="F36" s="27"/>
      <c r="G36" s="25"/>
      <c r="H36" s="28"/>
      <c r="I36" s="25"/>
      <c r="J36" s="29">
        <v>3731</v>
      </c>
      <c r="K36" s="25"/>
      <c r="L36" s="25"/>
      <c r="M36" s="30"/>
      <c r="N36" s="31"/>
      <c r="O36" s="26"/>
      <c r="P36" s="32"/>
      <c r="R36" s="84"/>
    </row>
    <row r="37" spans="1:18" ht="20.100000000000001" customHeight="1" thickBot="1">
      <c r="A37" s="59"/>
      <c r="B37" s="25"/>
      <c r="C37" s="26"/>
      <c r="D37" s="26"/>
      <c r="E37" s="25"/>
      <c r="F37" s="27"/>
      <c r="G37" s="60"/>
      <c r="H37" s="135" t="s">
        <v>390</v>
      </c>
      <c r="I37" s="136"/>
      <c r="J37" s="136"/>
      <c r="K37" s="136"/>
      <c r="L37" s="137"/>
      <c r="M37" s="61"/>
      <c r="N37" s="62"/>
      <c r="O37" s="62"/>
      <c r="P37" s="63"/>
      <c r="R37" s="84"/>
    </row>
    <row r="38" spans="1:18" ht="20.100000000000001" customHeight="1">
      <c r="A38" s="68" t="s">
        <v>209</v>
      </c>
      <c r="B38" s="69"/>
      <c r="C38" s="64">
        <v>45991</v>
      </c>
      <c r="D38" s="64">
        <v>45992</v>
      </c>
      <c r="E38" s="64">
        <v>45993</v>
      </c>
      <c r="F38" s="64">
        <v>45994</v>
      </c>
      <c r="G38" s="64">
        <v>45995</v>
      </c>
      <c r="H38" s="64">
        <v>45996</v>
      </c>
      <c r="I38" s="64">
        <v>45997</v>
      </c>
      <c r="J38" s="64">
        <v>45998</v>
      </c>
      <c r="K38" s="64">
        <v>45999</v>
      </c>
      <c r="L38" s="64">
        <v>46000</v>
      </c>
      <c r="M38" s="64">
        <v>46001</v>
      </c>
      <c r="N38" s="64">
        <v>46002</v>
      </c>
      <c r="O38" s="64">
        <v>46003</v>
      </c>
      <c r="P38" s="65">
        <v>46004</v>
      </c>
      <c r="R38" s="84"/>
    </row>
    <row r="39" spans="1:18" ht="20.100000000000001" customHeight="1">
      <c r="A39" s="66" t="s">
        <v>316</v>
      </c>
      <c r="B39" s="67"/>
      <c r="C39" s="67"/>
      <c r="D39" s="16"/>
      <c r="E39" s="16"/>
      <c r="F39" s="16"/>
      <c r="G39" s="16">
        <v>580</v>
      </c>
      <c r="H39" s="16">
        <v>580</v>
      </c>
      <c r="I39" s="16">
        <v>580</v>
      </c>
      <c r="J39" s="67"/>
      <c r="K39" s="16">
        <v>580</v>
      </c>
      <c r="L39" s="16">
        <v>580</v>
      </c>
      <c r="M39" s="16">
        <v>580</v>
      </c>
      <c r="N39" s="16">
        <v>580</v>
      </c>
      <c r="O39" s="16">
        <v>580</v>
      </c>
      <c r="P39" s="82">
        <v>580</v>
      </c>
      <c r="R39" s="84"/>
    </row>
    <row r="40" spans="1:18" ht="20.100000000000001" customHeight="1">
      <c r="A40" s="66" t="s">
        <v>317</v>
      </c>
      <c r="B40" s="67"/>
      <c r="C40" s="73"/>
      <c r="D40" s="16"/>
      <c r="E40" s="16"/>
      <c r="F40" s="16"/>
      <c r="G40" s="16">
        <v>580</v>
      </c>
      <c r="H40" s="16">
        <v>580</v>
      </c>
      <c r="I40" s="16">
        <v>580</v>
      </c>
      <c r="J40" s="67"/>
      <c r="K40" s="16"/>
      <c r="L40" s="16"/>
      <c r="M40" s="16"/>
      <c r="N40" s="16"/>
      <c r="O40" s="16"/>
      <c r="P40" s="82"/>
      <c r="R40" s="84"/>
    </row>
    <row r="41" spans="1:18" ht="20.100000000000001" customHeight="1">
      <c r="A41" s="66" t="s">
        <v>318</v>
      </c>
      <c r="B41" s="67"/>
      <c r="C41" s="73"/>
      <c r="D41" s="16"/>
      <c r="E41" s="16"/>
      <c r="F41" s="16"/>
      <c r="G41" s="16">
        <v>580</v>
      </c>
      <c r="H41" s="16">
        <v>580</v>
      </c>
      <c r="I41" s="16">
        <v>580</v>
      </c>
      <c r="J41" s="67"/>
      <c r="K41" s="16"/>
      <c r="L41" s="16"/>
      <c r="M41" s="16"/>
      <c r="N41" s="16"/>
      <c r="O41" s="16"/>
      <c r="P41" s="82"/>
      <c r="R41" s="84"/>
    </row>
    <row r="42" spans="1:18" ht="20.100000000000001" customHeight="1">
      <c r="A42" s="68" t="s">
        <v>209</v>
      </c>
      <c r="B42" s="69"/>
      <c r="C42" s="64">
        <v>46005</v>
      </c>
      <c r="D42" s="64">
        <v>46006</v>
      </c>
      <c r="E42" s="64">
        <v>46007</v>
      </c>
      <c r="F42" s="64">
        <v>46008</v>
      </c>
      <c r="G42" s="64">
        <v>46009</v>
      </c>
      <c r="H42" s="64">
        <v>46010</v>
      </c>
      <c r="I42" s="64">
        <v>46011</v>
      </c>
      <c r="J42" s="64">
        <v>46012</v>
      </c>
      <c r="K42" s="64">
        <v>46013</v>
      </c>
      <c r="L42" s="64">
        <v>46014</v>
      </c>
      <c r="M42" s="64">
        <v>46015</v>
      </c>
      <c r="N42" s="64">
        <v>46016</v>
      </c>
      <c r="O42" s="64">
        <v>46017</v>
      </c>
      <c r="P42" s="65">
        <v>46018</v>
      </c>
      <c r="R42" s="84"/>
    </row>
    <row r="43" spans="1:18" ht="20.100000000000001" customHeight="1">
      <c r="A43" s="66" t="s">
        <v>316</v>
      </c>
      <c r="B43" s="67"/>
      <c r="C43" s="67"/>
      <c r="D43" s="16">
        <v>580</v>
      </c>
      <c r="E43" s="16">
        <v>580</v>
      </c>
      <c r="F43" s="16">
        <v>580</v>
      </c>
      <c r="G43" s="16">
        <v>580</v>
      </c>
      <c r="H43" s="16">
        <v>580</v>
      </c>
      <c r="I43" s="16">
        <v>580</v>
      </c>
      <c r="J43" s="67"/>
      <c r="K43" s="16">
        <v>580</v>
      </c>
      <c r="L43" s="16">
        <v>580</v>
      </c>
      <c r="M43" s="16">
        <v>580</v>
      </c>
      <c r="N43" s="67"/>
      <c r="O43" s="16">
        <v>580</v>
      </c>
      <c r="P43" s="82">
        <v>580</v>
      </c>
      <c r="R43" s="84"/>
    </row>
    <row r="44" spans="1:18" ht="20.100000000000001" customHeight="1">
      <c r="A44" s="66" t="s">
        <v>317</v>
      </c>
      <c r="B44" s="67"/>
      <c r="C44" s="73"/>
      <c r="D44" s="16"/>
      <c r="E44" s="16"/>
      <c r="F44" s="16"/>
      <c r="G44" s="16"/>
      <c r="H44" s="16"/>
      <c r="I44" s="16"/>
      <c r="J44" s="67"/>
      <c r="K44" s="16"/>
      <c r="L44" s="16"/>
      <c r="M44" s="16"/>
      <c r="N44" s="67"/>
      <c r="O44" s="16"/>
      <c r="P44" s="82"/>
      <c r="R44" s="84"/>
    </row>
    <row r="45" spans="1:18" ht="20.100000000000001" customHeight="1">
      <c r="A45" s="66" t="s">
        <v>318</v>
      </c>
      <c r="B45" s="67"/>
      <c r="C45" s="73"/>
      <c r="D45" s="16"/>
      <c r="E45" s="16"/>
      <c r="F45" s="16"/>
      <c r="G45" s="16"/>
      <c r="H45" s="16"/>
      <c r="I45" s="16"/>
      <c r="J45" s="67"/>
      <c r="K45" s="16"/>
      <c r="L45" s="16"/>
      <c r="M45" s="16"/>
      <c r="N45" s="67"/>
      <c r="O45" s="16"/>
      <c r="P45" s="82"/>
      <c r="R45" s="84"/>
    </row>
    <row r="46" spans="1:18" ht="20.100000000000001" customHeight="1">
      <c r="A46" s="68" t="s">
        <v>209</v>
      </c>
      <c r="B46" s="69"/>
      <c r="C46" s="64">
        <v>46019</v>
      </c>
      <c r="D46" s="64">
        <v>46020</v>
      </c>
      <c r="E46" s="64">
        <v>46021</v>
      </c>
      <c r="F46" s="64">
        <v>46022</v>
      </c>
      <c r="G46" s="64">
        <v>46023</v>
      </c>
      <c r="H46" s="64">
        <v>46024</v>
      </c>
      <c r="I46" s="64">
        <v>46025</v>
      </c>
      <c r="J46" s="64">
        <v>46026</v>
      </c>
      <c r="K46" s="64">
        <v>46027</v>
      </c>
      <c r="L46" s="64">
        <v>46028</v>
      </c>
      <c r="M46" s="64">
        <v>46029</v>
      </c>
      <c r="N46" s="64">
        <v>46030</v>
      </c>
      <c r="O46" s="64">
        <v>46031</v>
      </c>
      <c r="P46" s="65" t="s">
        <v>213</v>
      </c>
      <c r="R46" s="84"/>
    </row>
    <row r="47" spans="1:18" ht="20.100000000000001" customHeight="1">
      <c r="A47" s="66" t="s">
        <v>316</v>
      </c>
      <c r="B47" s="67"/>
      <c r="C47" s="67"/>
      <c r="D47" s="16">
        <v>446</v>
      </c>
      <c r="E47" s="16"/>
      <c r="F47" s="16"/>
      <c r="G47" s="16"/>
      <c r="H47" s="16"/>
      <c r="I47" s="16"/>
      <c r="J47" s="67"/>
      <c r="K47" s="16"/>
      <c r="L47" s="16"/>
      <c r="M47" s="16"/>
      <c r="N47" s="67"/>
      <c r="O47" s="16"/>
      <c r="P47" s="82">
        <v>12046</v>
      </c>
      <c r="R47" s="84"/>
    </row>
    <row r="48" spans="1:18" ht="20.100000000000001" customHeight="1">
      <c r="A48" s="66" t="s">
        <v>317</v>
      </c>
      <c r="B48" s="67"/>
      <c r="C48" s="73"/>
      <c r="D48" s="16"/>
      <c r="E48" s="16"/>
      <c r="F48" s="16"/>
      <c r="G48" s="16"/>
      <c r="H48" s="16"/>
      <c r="I48" s="16"/>
      <c r="J48" s="67"/>
      <c r="K48" s="16"/>
      <c r="L48" s="16"/>
      <c r="M48" s="16"/>
      <c r="N48" s="67"/>
      <c r="O48" s="16"/>
      <c r="P48" s="82">
        <v>1740</v>
      </c>
      <c r="R48" s="84"/>
    </row>
    <row r="49" spans="1:18" ht="20.100000000000001" customHeight="1">
      <c r="A49" s="66" t="s">
        <v>318</v>
      </c>
      <c r="B49" s="67"/>
      <c r="C49" s="73"/>
      <c r="D49" s="16"/>
      <c r="E49" s="16"/>
      <c r="F49" s="16"/>
      <c r="G49" s="16"/>
      <c r="H49" s="16"/>
      <c r="I49" s="16"/>
      <c r="J49" s="67"/>
      <c r="K49" s="16"/>
      <c r="L49" s="16"/>
      <c r="M49" s="16"/>
      <c r="N49" s="67"/>
      <c r="O49" s="16"/>
      <c r="P49" s="82">
        <v>1740</v>
      </c>
      <c r="R49" s="84"/>
    </row>
    <row r="50" spans="1:18" ht="20.100000000000001" customHeight="1">
      <c r="A50" s="138" t="s">
        <v>214</v>
      </c>
      <c r="B50" s="139"/>
      <c r="C50" s="139"/>
      <c r="D50" s="139"/>
      <c r="E50" s="140"/>
      <c r="F50" s="144" t="s">
        <v>215</v>
      </c>
      <c r="G50" s="145"/>
      <c r="H50" s="145"/>
      <c r="I50" s="145"/>
      <c r="J50" s="145"/>
      <c r="K50" s="146"/>
      <c r="L50" s="150" t="s">
        <v>324</v>
      </c>
      <c r="M50" s="139"/>
      <c r="N50" s="139"/>
      <c r="O50" s="140"/>
      <c r="P50" s="127">
        <v>15526</v>
      </c>
      <c r="R50" s="84"/>
    </row>
    <row r="51" spans="1:18" ht="20.100000000000001" customHeight="1" thickBot="1">
      <c r="A51" s="141"/>
      <c r="B51" s="142"/>
      <c r="C51" s="142"/>
      <c r="D51" s="142"/>
      <c r="E51" s="143"/>
      <c r="F51" s="147"/>
      <c r="G51" s="148"/>
      <c r="H51" s="148"/>
      <c r="I51" s="148"/>
      <c r="J51" s="148"/>
      <c r="K51" s="149"/>
      <c r="L51" s="151"/>
      <c r="M51" s="142"/>
      <c r="N51" s="142"/>
      <c r="O51" s="143"/>
      <c r="P51" s="128"/>
      <c r="R51" s="84"/>
    </row>
    <row r="52" spans="1:18" ht="20.100000000000001" customHeight="1">
      <c r="A52" s="19"/>
      <c r="F52" s="72"/>
      <c r="G52" s="72"/>
      <c r="H52" s="72"/>
      <c r="I52" s="72"/>
      <c r="J52" s="72"/>
      <c r="K52" s="72"/>
    </row>
    <row r="55" spans="1:18" ht="20.100000000000001" customHeight="1">
      <c r="J55" s="91"/>
    </row>
  </sheetData>
  <mergeCells count="11">
    <mergeCell ref="A1:P1"/>
    <mergeCell ref="A2:P2"/>
    <mergeCell ref="P50:P51"/>
    <mergeCell ref="A5:A9"/>
    <mergeCell ref="A12:A15"/>
    <mergeCell ref="A18:A24"/>
    <mergeCell ref="A27:A35"/>
    <mergeCell ref="H37:L37"/>
    <mergeCell ref="A50:E51"/>
    <mergeCell ref="F50:K51"/>
    <mergeCell ref="L50:O51"/>
  </mergeCells>
  <printOptions horizontalCentered="1" verticalCentered="1"/>
  <pageMargins left="0" right="0" top="0" bottom="0" header="0" footer="0"/>
  <pageSetup paperSize="9" scale="5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S42"/>
  <sheetViews>
    <sheetView view="pageBreakPreview" topLeftCell="H4" zoomScale="90" zoomScaleNormal="100" zoomScaleSheetLayoutView="90" workbookViewId="0">
      <selection activeCell="G6" sqref="G6"/>
    </sheetView>
  </sheetViews>
  <sheetFormatPr defaultColWidth="10.85546875" defaultRowHeight="45" customHeight="1"/>
  <cols>
    <col min="1" max="1" width="13.5703125" style="1" bestFit="1" customWidth="1"/>
    <col min="2" max="2" width="9.7109375" style="1" bestFit="1" customWidth="1"/>
    <col min="3" max="4" width="13" style="1" bestFit="1" customWidth="1"/>
    <col min="5" max="5" width="43.140625" style="1" bestFit="1" customWidth="1"/>
    <col min="6" max="6" width="10.28515625" style="1" bestFit="1" customWidth="1"/>
    <col min="7" max="7" width="17.28515625" style="1" bestFit="1" customWidth="1"/>
    <col min="8" max="8" width="14.28515625" style="1" bestFit="1" customWidth="1"/>
    <col min="9" max="9" width="10" style="1" bestFit="1" customWidth="1"/>
    <col min="10" max="10" width="10.7109375" style="1" bestFit="1" customWidth="1"/>
    <col min="11" max="11" width="14" style="1" bestFit="1" customWidth="1"/>
    <col min="12" max="12" width="19.28515625" style="1" bestFit="1" customWidth="1"/>
    <col min="13" max="13" width="17.85546875" style="1" bestFit="1" customWidth="1"/>
    <col min="14" max="14" width="32.42578125" style="1" bestFit="1" customWidth="1"/>
    <col min="15" max="15" width="13" style="1" bestFit="1" customWidth="1"/>
    <col min="16" max="16" width="18.5703125" style="1" bestFit="1" customWidth="1"/>
    <col min="17" max="17" width="14" style="1" customWidth="1"/>
    <col min="18" max="18" width="14.42578125" style="19" customWidth="1"/>
    <col min="19" max="19" width="14.42578125" style="1" customWidth="1"/>
    <col min="20" max="22" width="11.85546875" style="1" customWidth="1"/>
    <col min="23" max="16384" width="10.85546875" style="1"/>
  </cols>
  <sheetData>
    <row r="1" spans="1:19" ht="45" customHeight="1" thickBot="1">
      <c r="A1" s="124" t="s">
        <v>376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6"/>
      <c r="Q1" s="92"/>
    </row>
    <row r="2" spans="1:19" ht="45" customHeight="1" thickBot="1">
      <c r="A2" s="124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6"/>
      <c r="Q2" s="92"/>
    </row>
    <row r="3" spans="1:19" ht="45" customHeight="1">
      <c r="A3" s="2"/>
      <c r="B3" s="3" t="s">
        <v>1</v>
      </c>
      <c r="C3" s="4" t="s">
        <v>2</v>
      </c>
      <c r="D3" s="4" t="s">
        <v>3</v>
      </c>
      <c r="E3" s="3" t="s">
        <v>4</v>
      </c>
      <c r="F3" s="3" t="s">
        <v>5</v>
      </c>
      <c r="G3" s="3" t="s">
        <v>326</v>
      </c>
      <c r="H3" s="3"/>
      <c r="I3" s="3" t="s">
        <v>7</v>
      </c>
      <c r="J3" s="6" t="s">
        <v>8</v>
      </c>
      <c r="K3" s="7"/>
      <c r="L3" s="3" t="s">
        <v>9</v>
      </c>
      <c r="M3" s="3" t="s">
        <v>10</v>
      </c>
      <c r="N3" s="3" t="s">
        <v>11</v>
      </c>
      <c r="O3" s="8" t="s">
        <v>12</v>
      </c>
      <c r="P3" s="9"/>
      <c r="Q3" s="93"/>
    </row>
    <row r="4" spans="1:19" ht="45" customHeight="1">
      <c r="A4" s="10" t="s">
        <v>13</v>
      </c>
      <c r="B4" s="3" t="s">
        <v>14</v>
      </c>
      <c r="C4" s="4" t="s">
        <v>15</v>
      </c>
      <c r="D4" s="4" t="s">
        <v>3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6" t="s">
        <v>21</v>
      </c>
      <c r="K4" s="7" t="s">
        <v>22</v>
      </c>
      <c r="L4" s="3" t="s">
        <v>23</v>
      </c>
      <c r="M4" s="94" t="s">
        <v>24</v>
      </c>
      <c r="N4" s="94" t="s">
        <v>25</v>
      </c>
      <c r="O4" s="8" t="s">
        <v>26</v>
      </c>
      <c r="P4" s="11" t="s">
        <v>27</v>
      </c>
      <c r="Q4" s="93"/>
    </row>
    <row r="5" spans="1:19" s="78" customFormat="1" ht="45" customHeight="1">
      <c r="A5" s="152" t="s">
        <v>239</v>
      </c>
      <c r="B5" s="20" t="s">
        <v>231</v>
      </c>
      <c r="C5" s="21">
        <v>45968</v>
      </c>
      <c r="D5" s="21">
        <v>45968</v>
      </c>
      <c r="E5" s="20" t="s">
        <v>268</v>
      </c>
      <c r="F5" s="20" t="s">
        <v>233</v>
      </c>
      <c r="G5" s="20" t="s">
        <v>283</v>
      </c>
      <c r="H5" s="20" t="s">
        <v>284</v>
      </c>
      <c r="I5" s="20" t="s">
        <v>285</v>
      </c>
      <c r="J5" s="15">
        <v>2880</v>
      </c>
      <c r="K5" s="20" t="s">
        <v>41</v>
      </c>
      <c r="L5" s="20" t="s">
        <v>42</v>
      </c>
      <c r="M5" s="33"/>
      <c r="N5" s="21"/>
      <c r="O5" s="13">
        <v>45998</v>
      </c>
      <c r="P5" s="17">
        <v>45835</v>
      </c>
      <c r="Q5" s="18"/>
      <c r="R5" s="95"/>
    </row>
    <row r="6" spans="1:19" s="78" customFormat="1" ht="45" customHeight="1">
      <c r="A6" s="153"/>
      <c r="B6" s="20" t="s">
        <v>231</v>
      </c>
      <c r="C6" s="21">
        <v>45968</v>
      </c>
      <c r="D6" s="21">
        <v>45968</v>
      </c>
      <c r="E6" s="20" t="s">
        <v>286</v>
      </c>
      <c r="F6" s="20" t="s">
        <v>233</v>
      </c>
      <c r="G6" s="20" t="s">
        <v>289</v>
      </c>
      <c r="H6" s="20" t="s">
        <v>290</v>
      </c>
      <c r="I6" s="20" t="s">
        <v>285</v>
      </c>
      <c r="J6" s="15">
        <v>3130</v>
      </c>
      <c r="K6" s="20" t="s">
        <v>41</v>
      </c>
      <c r="L6" s="20" t="s">
        <v>42</v>
      </c>
      <c r="M6" s="33"/>
      <c r="N6" s="21"/>
      <c r="O6" s="13">
        <v>45998</v>
      </c>
      <c r="P6" s="79">
        <v>45835</v>
      </c>
      <c r="Q6" s="18"/>
      <c r="R6" s="95"/>
    </row>
    <row r="7" spans="1:19" s="78" customFormat="1" ht="45" customHeight="1" thickBot="1">
      <c r="A7" s="154"/>
      <c r="B7" s="20" t="s">
        <v>231</v>
      </c>
      <c r="C7" s="21">
        <v>45968</v>
      </c>
      <c r="D7" s="21">
        <v>45968</v>
      </c>
      <c r="E7" s="20" t="s">
        <v>286</v>
      </c>
      <c r="F7" s="20" t="s">
        <v>233</v>
      </c>
      <c r="G7" s="20" t="s">
        <v>287</v>
      </c>
      <c r="H7" s="110" t="s">
        <v>288</v>
      </c>
      <c r="I7" s="20" t="s">
        <v>276</v>
      </c>
      <c r="J7" s="15">
        <v>700</v>
      </c>
      <c r="K7" s="20" t="s">
        <v>41</v>
      </c>
      <c r="L7" s="20" t="s">
        <v>278</v>
      </c>
      <c r="M7" s="33" t="s">
        <v>370</v>
      </c>
      <c r="N7" s="21"/>
      <c r="O7" s="13">
        <v>46006</v>
      </c>
      <c r="P7" s="79">
        <v>45835</v>
      </c>
      <c r="Q7" s="18"/>
      <c r="R7" s="95"/>
    </row>
    <row r="8" spans="1:19" ht="45" customHeight="1" thickBot="1">
      <c r="A8" s="24"/>
      <c r="B8" s="25"/>
      <c r="C8" s="26"/>
      <c r="D8" s="26"/>
      <c r="E8" s="25"/>
      <c r="F8" s="27"/>
      <c r="G8" s="25"/>
      <c r="H8" s="28"/>
      <c r="I8" s="25"/>
      <c r="J8" s="29">
        <v>6710</v>
      </c>
      <c r="K8" s="25"/>
      <c r="L8" s="25"/>
      <c r="M8" s="30"/>
      <c r="N8" s="31"/>
      <c r="O8" s="26"/>
      <c r="P8" s="32"/>
      <c r="Q8" s="18"/>
      <c r="R8" s="95"/>
      <c r="S8" s="19"/>
    </row>
    <row r="9" spans="1:19" ht="45" customHeight="1">
      <c r="A9" s="2" t="s">
        <v>13</v>
      </c>
      <c r="B9" s="3" t="s">
        <v>14</v>
      </c>
      <c r="C9" s="4" t="s">
        <v>15</v>
      </c>
      <c r="D9" s="4" t="s">
        <v>3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6" t="s">
        <v>21</v>
      </c>
      <c r="K9" s="7" t="s">
        <v>22</v>
      </c>
      <c r="L9" s="3" t="s">
        <v>23</v>
      </c>
      <c r="M9" s="3" t="s">
        <v>24</v>
      </c>
      <c r="N9" s="3" t="s">
        <v>25</v>
      </c>
      <c r="O9" s="8" t="s">
        <v>26</v>
      </c>
      <c r="P9" s="9" t="s">
        <v>27</v>
      </c>
      <c r="Q9" s="18"/>
      <c r="R9" s="95"/>
      <c r="S9" s="19"/>
    </row>
    <row r="10" spans="1:19" s="78" customFormat="1" ht="45" customHeight="1">
      <c r="A10" s="132" t="s">
        <v>240</v>
      </c>
      <c r="B10" s="20" t="s">
        <v>231</v>
      </c>
      <c r="C10" s="21">
        <v>45968</v>
      </c>
      <c r="D10" s="21">
        <v>45968</v>
      </c>
      <c r="E10" s="20" t="s">
        <v>286</v>
      </c>
      <c r="F10" s="20" t="s">
        <v>233</v>
      </c>
      <c r="G10" s="20" t="s">
        <v>287</v>
      </c>
      <c r="H10" s="110" t="s">
        <v>288</v>
      </c>
      <c r="I10" s="20" t="s">
        <v>276</v>
      </c>
      <c r="J10" s="15">
        <v>320</v>
      </c>
      <c r="K10" s="20" t="s">
        <v>41</v>
      </c>
      <c r="L10" s="20" t="s">
        <v>278</v>
      </c>
      <c r="M10" s="33" t="s">
        <v>370</v>
      </c>
      <c r="N10" s="21"/>
      <c r="O10" s="13">
        <v>46006</v>
      </c>
      <c r="P10" s="79">
        <v>45835</v>
      </c>
      <c r="Q10" s="18"/>
      <c r="R10" s="95"/>
    </row>
    <row r="11" spans="1:19" s="78" customFormat="1" ht="45" customHeight="1">
      <c r="A11" s="133"/>
      <c r="B11" s="20" t="s">
        <v>231</v>
      </c>
      <c r="C11" s="21">
        <v>45976</v>
      </c>
      <c r="D11" s="21">
        <v>45976</v>
      </c>
      <c r="E11" s="20" t="s">
        <v>286</v>
      </c>
      <c r="F11" s="20" t="s">
        <v>233</v>
      </c>
      <c r="G11" s="33" t="s">
        <v>291</v>
      </c>
      <c r="H11" s="111" t="s">
        <v>292</v>
      </c>
      <c r="I11" s="33" t="s">
        <v>271</v>
      </c>
      <c r="J11" s="15">
        <v>2850</v>
      </c>
      <c r="K11" s="33" t="s">
        <v>32</v>
      </c>
      <c r="L11" s="33" t="s">
        <v>235</v>
      </c>
      <c r="M11" s="33"/>
      <c r="N11" s="85"/>
      <c r="O11" s="23">
        <v>46006</v>
      </c>
      <c r="P11" s="108">
        <v>45835</v>
      </c>
      <c r="Q11" s="18"/>
      <c r="R11" s="95"/>
    </row>
    <row r="12" spans="1:19" s="78" customFormat="1" ht="45" customHeight="1">
      <c r="A12" s="133"/>
      <c r="B12" s="20" t="s">
        <v>231</v>
      </c>
      <c r="C12" s="21">
        <v>46006</v>
      </c>
      <c r="D12" s="21">
        <v>46006</v>
      </c>
      <c r="E12" s="20" t="s">
        <v>258</v>
      </c>
      <c r="F12" s="20" t="s">
        <v>233</v>
      </c>
      <c r="G12" s="33" t="s">
        <v>259</v>
      </c>
      <c r="H12" s="33" t="s">
        <v>260</v>
      </c>
      <c r="I12" s="33" t="s">
        <v>261</v>
      </c>
      <c r="J12" s="15">
        <v>1498</v>
      </c>
      <c r="K12" s="33" t="s">
        <v>32</v>
      </c>
      <c r="L12" s="33" t="s">
        <v>235</v>
      </c>
      <c r="M12" s="33"/>
      <c r="N12" s="85"/>
      <c r="O12" s="23">
        <v>46006</v>
      </c>
      <c r="P12" s="108">
        <v>45807</v>
      </c>
      <c r="Q12" s="18"/>
      <c r="R12" s="95"/>
    </row>
    <row r="13" spans="1:19" s="78" customFormat="1" ht="45" customHeight="1" thickBot="1">
      <c r="A13" s="134"/>
      <c r="B13" s="20" t="s">
        <v>231</v>
      </c>
      <c r="C13" s="21">
        <v>46006</v>
      </c>
      <c r="D13" s="21">
        <v>46006</v>
      </c>
      <c r="E13" s="20" t="s">
        <v>258</v>
      </c>
      <c r="F13" s="20" t="s">
        <v>233</v>
      </c>
      <c r="G13" s="33" t="s">
        <v>265</v>
      </c>
      <c r="H13" s="33" t="s">
        <v>266</v>
      </c>
      <c r="I13" s="33" t="s">
        <v>267</v>
      </c>
      <c r="J13" s="15">
        <v>1337</v>
      </c>
      <c r="K13" s="33" t="s">
        <v>56</v>
      </c>
      <c r="L13" s="33" t="s">
        <v>235</v>
      </c>
      <c r="M13" s="33"/>
      <c r="N13" s="85"/>
      <c r="O13" s="23">
        <v>46006</v>
      </c>
      <c r="P13" s="108">
        <v>45835</v>
      </c>
      <c r="Q13" s="18"/>
      <c r="R13" s="95"/>
    </row>
    <row r="14" spans="1:19" ht="45" customHeight="1" thickBot="1">
      <c r="A14" s="24"/>
      <c r="B14" s="25"/>
      <c r="C14" s="26"/>
      <c r="D14" s="26"/>
      <c r="E14" s="25"/>
      <c r="F14" s="27"/>
      <c r="G14" s="25"/>
      <c r="H14" s="28"/>
      <c r="I14" s="60"/>
      <c r="J14" s="29">
        <v>6005</v>
      </c>
      <c r="K14" s="37"/>
      <c r="L14" s="25"/>
      <c r="M14" s="30"/>
      <c r="N14" s="31"/>
      <c r="O14" s="26"/>
      <c r="P14" s="32"/>
      <c r="Q14" s="18"/>
      <c r="R14" s="95"/>
      <c r="S14" s="19"/>
    </row>
    <row r="15" spans="1:19" s="19" customFormat="1" ht="45" customHeight="1" thickBot="1">
      <c r="A15" s="96"/>
      <c r="B15" s="97"/>
      <c r="C15" s="97"/>
      <c r="D15" s="97"/>
      <c r="E15" s="97"/>
      <c r="F15" s="97"/>
      <c r="G15" s="98"/>
      <c r="H15" s="135" t="s">
        <v>389</v>
      </c>
      <c r="I15" s="136"/>
      <c r="J15" s="136"/>
      <c r="K15" s="136"/>
      <c r="L15" s="137"/>
      <c r="M15" s="99"/>
      <c r="N15" s="100"/>
      <c r="O15" s="100"/>
      <c r="P15" s="101"/>
      <c r="Q15" s="18"/>
      <c r="R15" s="95"/>
    </row>
    <row r="16" spans="1:19" ht="45" customHeight="1">
      <c r="A16" s="81" t="s">
        <v>209</v>
      </c>
      <c r="B16" s="64"/>
      <c r="C16" s="64">
        <v>45991</v>
      </c>
      <c r="D16" s="64">
        <v>45992</v>
      </c>
      <c r="E16" s="64">
        <v>45993</v>
      </c>
      <c r="F16" s="64">
        <v>45994</v>
      </c>
      <c r="G16" s="64">
        <v>45995</v>
      </c>
      <c r="H16" s="64">
        <v>45996</v>
      </c>
      <c r="I16" s="64">
        <v>45997</v>
      </c>
      <c r="J16" s="64">
        <v>45998</v>
      </c>
      <c r="K16" s="64">
        <v>45999</v>
      </c>
      <c r="L16" s="64">
        <v>46000</v>
      </c>
      <c r="M16" s="64">
        <v>46001</v>
      </c>
      <c r="N16" s="64">
        <v>46002</v>
      </c>
      <c r="O16" s="64">
        <v>46003</v>
      </c>
      <c r="P16" s="65" t="s">
        <v>213</v>
      </c>
      <c r="Q16" s="18"/>
      <c r="R16" s="18"/>
      <c r="S16" s="19"/>
    </row>
    <row r="17" spans="1:19" ht="45" customHeight="1">
      <c r="A17" s="66" t="s">
        <v>317</v>
      </c>
      <c r="B17" s="73"/>
      <c r="C17" s="73"/>
      <c r="D17" s="103"/>
      <c r="E17" s="16"/>
      <c r="F17" s="16">
        <v>580</v>
      </c>
      <c r="G17" s="16">
        <v>580</v>
      </c>
      <c r="H17" s="16">
        <v>580</v>
      </c>
      <c r="I17" s="16">
        <v>580</v>
      </c>
      <c r="J17" s="73"/>
      <c r="K17" s="16">
        <v>580</v>
      </c>
      <c r="L17" s="16">
        <v>580</v>
      </c>
      <c r="M17" s="16">
        <v>580</v>
      </c>
      <c r="N17" s="104">
        <v>179</v>
      </c>
      <c r="O17" s="16"/>
      <c r="P17" s="82">
        <v>4239</v>
      </c>
      <c r="Q17" s="18"/>
      <c r="R17" s="18"/>
      <c r="S17" s="19"/>
    </row>
    <row r="18" spans="1:19" ht="45" customHeight="1">
      <c r="A18" s="66" t="s">
        <v>328</v>
      </c>
      <c r="B18" s="73"/>
      <c r="C18" s="73"/>
      <c r="D18" s="103"/>
      <c r="E18" s="16"/>
      <c r="F18" s="16">
        <v>580</v>
      </c>
      <c r="G18" s="16">
        <v>580</v>
      </c>
      <c r="H18" s="16">
        <v>580</v>
      </c>
      <c r="I18" s="16">
        <v>580</v>
      </c>
      <c r="J18" s="73"/>
      <c r="K18" s="16">
        <v>580</v>
      </c>
      <c r="L18" s="16">
        <v>580</v>
      </c>
      <c r="M18" s="16">
        <v>580</v>
      </c>
      <c r="N18" s="104">
        <v>178</v>
      </c>
      <c r="O18" s="16"/>
      <c r="P18" s="82">
        <v>4238</v>
      </c>
      <c r="Q18" s="18"/>
      <c r="R18" s="18"/>
      <c r="S18" s="19"/>
    </row>
    <row r="19" spans="1:19" ht="45" customHeight="1">
      <c r="A19" s="102" t="s">
        <v>318</v>
      </c>
      <c r="B19" s="73"/>
      <c r="C19" s="73"/>
      <c r="D19" s="107"/>
      <c r="E19" s="16"/>
      <c r="F19" s="16">
        <v>580</v>
      </c>
      <c r="G19" s="16">
        <v>580</v>
      </c>
      <c r="H19" s="16">
        <v>580</v>
      </c>
      <c r="I19" s="16">
        <v>580</v>
      </c>
      <c r="J19" s="73"/>
      <c r="K19" s="16">
        <v>580</v>
      </c>
      <c r="L19" s="16">
        <v>580</v>
      </c>
      <c r="M19" s="16">
        <v>580</v>
      </c>
      <c r="N19" s="104">
        <v>178</v>
      </c>
      <c r="O19" s="16"/>
      <c r="P19" s="82">
        <v>4238</v>
      </c>
      <c r="Q19" s="18"/>
      <c r="R19" s="18"/>
      <c r="S19" s="19"/>
    </row>
    <row r="20" spans="1:19" ht="45" customHeight="1">
      <c r="A20" s="138" t="s">
        <v>214</v>
      </c>
      <c r="B20" s="139"/>
      <c r="C20" s="139"/>
      <c r="D20" s="139"/>
      <c r="E20" s="140"/>
      <c r="F20" s="155" t="s">
        <v>215</v>
      </c>
      <c r="G20" s="156"/>
      <c r="H20" s="145"/>
      <c r="I20" s="145"/>
      <c r="J20" s="145"/>
      <c r="K20" s="146"/>
      <c r="L20" s="150" t="s">
        <v>324</v>
      </c>
      <c r="M20" s="139"/>
      <c r="N20" s="139"/>
      <c r="O20" s="140"/>
      <c r="P20" s="127">
        <v>12715</v>
      </c>
      <c r="Q20" s="18"/>
      <c r="R20" s="77"/>
      <c r="S20" s="19"/>
    </row>
    <row r="21" spans="1:19" ht="45" customHeight="1" thickBot="1">
      <c r="A21" s="141"/>
      <c r="B21" s="142"/>
      <c r="C21" s="142"/>
      <c r="D21" s="142"/>
      <c r="E21" s="143"/>
      <c r="F21" s="147"/>
      <c r="G21" s="148"/>
      <c r="H21" s="148"/>
      <c r="I21" s="148"/>
      <c r="J21" s="148"/>
      <c r="K21" s="149"/>
      <c r="L21" s="151"/>
      <c r="M21" s="142"/>
      <c r="N21" s="142"/>
      <c r="O21" s="143"/>
      <c r="P21" s="128"/>
      <c r="Q21" s="18"/>
      <c r="R21" s="77"/>
      <c r="S21" s="19"/>
    </row>
    <row r="22" spans="1:19" ht="45" customHeight="1">
      <c r="H22" s="106"/>
      <c r="M22" s="1" t="s">
        <v>332</v>
      </c>
      <c r="Q22" s="18"/>
      <c r="R22" s="77"/>
      <c r="S22" s="19"/>
    </row>
    <row r="23" spans="1:19" ht="45" customHeight="1">
      <c r="H23" s="106"/>
    </row>
    <row r="24" spans="1:19" ht="45" customHeight="1">
      <c r="H24" s="106"/>
    </row>
    <row r="25" spans="1:19" ht="45" customHeight="1">
      <c r="H25" s="106"/>
    </row>
    <row r="26" spans="1:19" s="19" customFormat="1" ht="45" customHeight="1">
      <c r="A26" s="1"/>
      <c r="B26" s="1"/>
      <c r="C26" s="1"/>
      <c r="D26" s="1"/>
      <c r="E26" s="1"/>
      <c r="F26" s="1"/>
      <c r="G26" s="1"/>
      <c r="H26" s="106"/>
      <c r="I26" s="1"/>
      <c r="J26" s="1"/>
      <c r="K26" s="1"/>
      <c r="L26" s="1"/>
      <c r="M26" s="1"/>
      <c r="N26" s="1"/>
      <c r="O26" s="1"/>
      <c r="P26" s="1"/>
      <c r="Q26" s="1"/>
      <c r="S26" s="1"/>
    </row>
    <row r="27" spans="1:19" s="19" customFormat="1" ht="45" customHeight="1">
      <c r="A27" s="1"/>
      <c r="B27" s="1"/>
      <c r="C27" s="1"/>
      <c r="D27" s="1"/>
      <c r="E27" s="1"/>
      <c r="F27" s="1"/>
      <c r="G27" s="1"/>
      <c r="H27" s="106"/>
      <c r="I27" s="1"/>
      <c r="J27" s="1"/>
      <c r="K27" s="1"/>
      <c r="L27" s="1"/>
      <c r="M27" s="1"/>
      <c r="N27" s="1"/>
      <c r="O27" s="1"/>
      <c r="P27" s="1"/>
      <c r="Q27" s="1"/>
      <c r="S27" s="1"/>
    </row>
    <row r="28" spans="1:19" s="19" customFormat="1" ht="45" customHeight="1">
      <c r="A28" s="1"/>
      <c r="B28" s="1"/>
      <c r="C28" s="1"/>
      <c r="D28" s="1"/>
      <c r="E28" s="1"/>
      <c r="F28" s="1"/>
      <c r="G28" s="1"/>
      <c r="H28" s="106"/>
      <c r="I28" s="1"/>
      <c r="J28" s="1"/>
      <c r="K28" s="1"/>
      <c r="L28" s="1"/>
      <c r="M28" s="1"/>
      <c r="N28" s="1"/>
      <c r="O28" s="1"/>
      <c r="P28" s="1"/>
      <c r="Q28" s="1"/>
      <c r="S28" s="1"/>
    </row>
    <row r="29" spans="1:19" s="19" customFormat="1" ht="45" customHeight="1">
      <c r="A29" s="1"/>
      <c r="B29" s="1"/>
      <c r="C29" s="1"/>
      <c r="D29" s="1"/>
      <c r="E29" s="1"/>
      <c r="F29" s="1"/>
      <c r="G29" s="1"/>
      <c r="H29" s="106"/>
      <c r="I29" s="1"/>
      <c r="J29" s="1"/>
      <c r="K29" s="1"/>
      <c r="L29" s="1"/>
      <c r="M29" s="1"/>
      <c r="N29" s="1"/>
      <c r="O29" s="1"/>
      <c r="P29" s="1"/>
      <c r="Q29" s="1"/>
      <c r="S29" s="1"/>
    </row>
    <row r="30" spans="1:19" s="19" customFormat="1" ht="45" customHeight="1">
      <c r="A30" s="1"/>
      <c r="B30" s="1"/>
      <c r="C30" s="1"/>
      <c r="D30" s="1"/>
      <c r="E30" s="1"/>
      <c r="F30" s="1"/>
      <c r="G30" s="1"/>
      <c r="H30" s="106"/>
      <c r="I30" s="1"/>
      <c r="J30" s="1"/>
      <c r="K30" s="1"/>
      <c r="L30" s="1"/>
      <c r="M30" s="1"/>
      <c r="N30" s="1"/>
      <c r="O30" s="1"/>
      <c r="P30" s="1"/>
      <c r="Q30" s="1"/>
      <c r="S30" s="1"/>
    </row>
    <row r="31" spans="1:19" s="19" customFormat="1" ht="45" customHeight="1">
      <c r="A31" s="1"/>
      <c r="B31" s="1"/>
      <c r="C31" s="1"/>
      <c r="D31" s="1"/>
      <c r="E31" s="1"/>
      <c r="F31" s="1"/>
      <c r="G31" s="1"/>
      <c r="H31" s="106"/>
      <c r="I31" s="1"/>
      <c r="J31" s="1"/>
      <c r="K31" s="1"/>
      <c r="L31" s="1"/>
      <c r="M31" s="1"/>
      <c r="N31" s="1"/>
      <c r="O31" s="1"/>
      <c r="P31" s="1"/>
      <c r="Q31" s="1"/>
      <c r="S31" s="1"/>
    </row>
    <row r="32" spans="1:19" s="19" customFormat="1" ht="45" customHeight="1">
      <c r="A32" s="1"/>
      <c r="B32" s="1"/>
      <c r="C32" s="1"/>
      <c r="D32" s="1"/>
      <c r="E32" s="1"/>
      <c r="F32" s="1"/>
      <c r="G32" s="1"/>
      <c r="H32" s="106"/>
      <c r="I32" s="1"/>
      <c r="J32" s="1"/>
      <c r="K32" s="1"/>
      <c r="L32" s="1"/>
      <c r="M32" s="1"/>
      <c r="N32" s="1"/>
      <c r="O32" s="1"/>
      <c r="P32" s="1"/>
      <c r="Q32" s="1"/>
      <c r="S32" s="1"/>
    </row>
    <row r="33" spans="1:19" s="19" customFormat="1" ht="45" customHeight="1">
      <c r="A33" s="1"/>
      <c r="B33" s="1"/>
      <c r="C33" s="1"/>
      <c r="D33" s="1"/>
      <c r="E33" s="1"/>
      <c r="F33" s="1"/>
      <c r="G33" s="1"/>
      <c r="H33" s="106"/>
      <c r="I33" s="1"/>
      <c r="J33" s="1"/>
      <c r="K33" s="1"/>
      <c r="L33" s="1"/>
      <c r="M33" s="1"/>
      <c r="N33" s="1"/>
      <c r="O33" s="1"/>
      <c r="P33" s="1"/>
      <c r="Q33" s="1"/>
      <c r="S33" s="1"/>
    </row>
    <row r="34" spans="1:19" s="19" customFormat="1" ht="45" customHeight="1">
      <c r="A34" s="1"/>
      <c r="B34" s="1"/>
      <c r="C34" s="1"/>
      <c r="D34" s="1"/>
      <c r="E34" s="1"/>
      <c r="F34" s="1"/>
      <c r="G34" s="1"/>
      <c r="H34" s="106"/>
      <c r="I34" s="1"/>
      <c r="J34" s="1"/>
      <c r="K34" s="1"/>
      <c r="L34" s="1"/>
      <c r="M34" s="1"/>
      <c r="N34" s="1"/>
      <c r="O34" s="1"/>
      <c r="P34" s="1"/>
      <c r="Q34" s="1"/>
      <c r="S34" s="1"/>
    </row>
    <row r="35" spans="1:19" s="19" customFormat="1" ht="45" customHeight="1">
      <c r="A35" s="1"/>
      <c r="B35" s="1"/>
      <c r="C35" s="1"/>
      <c r="D35" s="1"/>
      <c r="E35" s="1"/>
      <c r="F35" s="1"/>
      <c r="G35" s="1"/>
      <c r="H35" s="106"/>
      <c r="I35" s="1"/>
      <c r="J35" s="1"/>
      <c r="K35" s="1"/>
      <c r="L35" s="1"/>
      <c r="M35" s="1"/>
      <c r="N35" s="1"/>
      <c r="O35" s="1"/>
      <c r="P35" s="1"/>
      <c r="Q35" s="1"/>
      <c r="S35" s="1"/>
    </row>
    <row r="36" spans="1:19" s="19" customFormat="1" ht="45" customHeight="1">
      <c r="A36" s="1"/>
      <c r="B36" s="1"/>
      <c r="C36" s="1"/>
      <c r="D36" s="1"/>
      <c r="E36" s="1"/>
      <c r="F36" s="1"/>
      <c r="G36" s="1"/>
      <c r="H36" s="106"/>
      <c r="I36" s="1"/>
      <c r="J36" s="1"/>
      <c r="K36" s="1"/>
      <c r="L36" s="1"/>
      <c r="M36" s="1"/>
      <c r="N36" s="1"/>
      <c r="O36" s="1"/>
      <c r="P36" s="1"/>
      <c r="Q36" s="1"/>
      <c r="S36" s="1"/>
    </row>
    <row r="37" spans="1:19" s="19" customFormat="1" ht="45" customHeight="1">
      <c r="A37" s="1"/>
      <c r="B37" s="1"/>
      <c r="C37" s="1"/>
      <c r="D37" s="1"/>
      <c r="E37" s="1"/>
      <c r="F37" s="1"/>
      <c r="G37" s="1"/>
      <c r="H37" s="106"/>
      <c r="I37" s="1"/>
      <c r="J37" s="1"/>
      <c r="K37" s="1"/>
      <c r="L37" s="1"/>
      <c r="M37" s="1"/>
      <c r="N37" s="1"/>
      <c r="O37" s="1"/>
      <c r="P37" s="1"/>
      <c r="Q37" s="1"/>
      <c r="S37" s="1"/>
    </row>
    <row r="38" spans="1:19" s="19" customFormat="1" ht="45" customHeight="1">
      <c r="A38" s="1"/>
      <c r="B38" s="1"/>
      <c r="C38" s="1"/>
      <c r="D38" s="1"/>
      <c r="E38" s="1"/>
      <c r="F38" s="1"/>
      <c r="G38" s="1"/>
      <c r="H38" s="106"/>
      <c r="I38" s="1"/>
      <c r="J38" s="1"/>
      <c r="K38" s="1"/>
      <c r="L38" s="1"/>
      <c r="M38" s="1"/>
      <c r="N38" s="1"/>
      <c r="O38" s="1"/>
      <c r="P38" s="1"/>
      <c r="Q38" s="1"/>
      <c r="S38" s="1"/>
    </row>
    <row r="39" spans="1:19" s="19" customFormat="1" ht="45" customHeight="1">
      <c r="A39" s="1"/>
      <c r="B39" s="1"/>
      <c r="C39" s="1"/>
      <c r="D39" s="1"/>
      <c r="E39" s="1"/>
      <c r="F39" s="1"/>
      <c r="G39" s="1"/>
      <c r="H39" s="106"/>
      <c r="I39" s="1"/>
      <c r="J39" s="1"/>
      <c r="K39" s="1"/>
      <c r="L39" s="1"/>
      <c r="M39" s="1"/>
      <c r="N39" s="1"/>
      <c r="O39" s="1"/>
      <c r="P39" s="1"/>
      <c r="Q39" s="1"/>
      <c r="S39" s="1"/>
    </row>
    <row r="40" spans="1:19" s="19" customFormat="1" ht="45" customHeight="1">
      <c r="A40" s="1"/>
      <c r="B40" s="1"/>
      <c r="C40" s="1"/>
      <c r="D40" s="1"/>
      <c r="E40" s="1"/>
      <c r="F40" s="1"/>
      <c r="G40" s="1"/>
      <c r="H40" s="106"/>
      <c r="I40" s="1"/>
      <c r="J40" s="1"/>
      <c r="K40" s="1"/>
      <c r="L40" s="1"/>
      <c r="M40" s="1"/>
      <c r="N40" s="1"/>
      <c r="O40" s="1"/>
      <c r="P40" s="1"/>
      <c r="Q40" s="1"/>
      <c r="S40" s="1"/>
    </row>
    <row r="41" spans="1:19" s="19" customFormat="1" ht="45" customHeight="1">
      <c r="A41" s="1"/>
      <c r="B41" s="1"/>
      <c r="C41" s="1"/>
      <c r="D41" s="1"/>
      <c r="E41" s="1"/>
      <c r="F41" s="1"/>
      <c r="G41" s="1"/>
      <c r="H41" s="106"/>
      <c r="I41" s="1"/>
      <c r="J41" s="1"/>
      <c r="K41" s="1"/>
      <c r="L41" s="1"/>
      <c r="M41" s="1"/>
      <c r="N41" s="1"/>
      <c r="O41" s="1"/>
      <c r="P41" s="1"/>
      <c r="Q41" s="1"/>
      <c r="S41" s="1"/>
    </row>
    <row r="42" spans="1:19" s="19" customFormat="1" ht="45" customHeight="1">
      <c r="A42" s="1"/>
      <c r="B42" s="1"/>
      <c r="C42" s="1"/>
      <c r="D42" s="1"/>
      <c r="E42" s="1"/>
      <c r="F42" s="1"/>
      <c r="G42" s="1"/>
      <c r="H42" s="106"/>
      <c r="I42" s="1"/>
      <c r="J42" s="1"/>
      <c r="K42" s="1"/>
      <c r="L42" s="1"/>
      <c r="M42" s="1"/>
      <c r="N42" s="1"/>
      <c r="O42" s="1"/>
      <c r="P42" s="1"/>
      <c r="Q42" s="1"/>
      <c r="S42" s="1"/>
    </row>
  </sheetData>
  <mergeCells count="9">
    <mergeCell ref="P20:P21"/>
    <mergeCell ref="A1:P1"/>
    <mergeCell ref="A2:P2"/>
    <mergeCell ref="A5:A7"/>
    <mergeCell ref="A10:A13"/>
    <mergeCell ref="H15:L15"/>
    <mergeCell ref="A20:E21"/>
    <mergeCell ref="F20:K21"/>
    <mergeCell ref="L20:O21"/>
  </mergeCells>
  <printOptions horizontalCentered="1" verticalCentered="1"/>
  <pageMargins left="0" right="0" top="0" bottom="0" header="0" footer="0"/>
  <pageSetup paperSize="9" scale="5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S81"/>
  <sheetViews>
    <sheetView view="pageBreakPreview" zoomScale="90" zoomScaleNormal="100" zoomScaleSheetLayoutView="90" workbookViewId="0">
      <selection activeCell="G6" sqref="G6"/>
    </sheetView>
  </sheetViews>
  <sheetFormatPr defaultColWidth="10.85546875" defaultRowHeight="35.1" customHeight="1"/>
  <cols>
    <col min="1" max="1" width="13.5703125" style="1" bestFit="1" customWidth="1"/>
    <col min="2" max="2" width="9.7109375" style="1" bestFit="1" customWidth="1"/>
    <col min="3" max="4" width="13" style="1" bestFit="1" customWidth="1"/>
    <col min="5" max="5" width="42.5703125" style="1" bestFit="1" customWidth="1"/>
    <col min="6" max="6" width="10.28515625" style="1" bestFit="1" customWidth="1"/>
    <col min="7" max="7" width="17.28515625" style="1" bestFit="1" customWidth="1"/>
    <col min="8" max="8" width="14.28515625" style="1" bestFit="1" customWidth="1"/>
    <col min="9" max="9" width="10" style="1" bestFit="1" customWidth="1"/>
    <col min="10" max="10" width="8.85546875" style="1" bestFit="1" customWidth="1"/>
    <col min="11" max="11" width="14" style="1" bestFit="1" customWidth="1"/>
    <col min="12" max="13" width="17.140625" style="1" bestFit="1" customWidth="1"/>
    <col min="14" max="14" width="34.140625" style="1" customWidth="1"/>
    <col min="15" max="15" width="13" style="1" bestFit="1" customWidth="1"/>
    <col min="16" max="16" width="18.5703125" style="1" bestFit="1" customWidth="1"/>
    <col min="17" max="17" width="14" style="1" customWidth="1"/>
    <col min="18" max="18" width="14.42578125" style="19" customWidth="1"/>
    <col min="19" max="19" width="14.42578125" style="1" customWidth="1"/>
    <col min="20" max="22" width="11.85546875" style="1" customWidth="1"/>
    <col min="23" max="16384" width="10.85546875" style="1"/>
  </cols>
  <sheetData>
    <row r="1" spans="1:19" ht="35.1" customHeight="1" thickBot="1">
      <c r="A1" s="124" t="s">
        <v>368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6"/>
      <c r="Q1" s="92"/>
    </row>
    <row r="2" spans="1:19" ht="35.1" customHeight="1" thickBot="1">
      <c r="A2" s="124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6"/>
      <c r="Q2" s="92"/>
    </row>
    <row r="3" spans="1:19" ht="35.1" customHeight="1">
      <c r="A3" s="2"/>
      <c r="B3" s="3" t="s">
        <v>1</v>
      </c>
      <c r="C3" s="4" t="s">
        <v>2</v>
      </c>
      <c r="D3" s="4" t="s">
        <v>3</v>
      </c>
      <c r="E3" s="3" t="s">
        <v>4</v>
      </c>
      <c r="F3" s="3" t="s">
        <v>5</v>
      </c>
      <c r="G3" s="3" t="s">
        <v>326</v>
      </c>
      <c r="H3" s="3"/>
      <c r="I3" s="3" t="s">
        <v>7</v>
      </c>
      <c r="J3" s="6" t="s">
        <v>8</v>
      </c>
      <c r="K3" s="7"/>
      <c r="L3" s="3" t="s">
        <v>9</v>
      </c>
      <c r="M3" s="3" t="s">
        <v>10</v>
      </c>
      <c r="N3" s="3" t="s">
        <v>11</v>
      </c>
      <c r="O3" s="8" t="s">
        <v>12</v>
      </c>
      <c r="P3" s="9"/>
      <c r="Q3" s="93"/>
    </row>
    <row r="4" spans="1:19" ht="35.1" customHeight="1">
      <c r="A4" s="10" t="s">
        <v>13</v>
      </c>
      <c r="B4" s="3" t="s">
        <v>14</v>
      </c>
      <c r="C4" s="4" t="s">
        <v>15</v>
      </c>
      <c r="D4" s="4" t="s">
        <v>3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6" t="s">
        <v>21</v>
      </c>
      <c r="K4" s="7" t="s">
        <v>22</v>
      </c>
      <c r="L4" s="3" t="s">
        <v>23</v>
      </c>
      <c r="M4" s="94" t="s">
        <v>24</v>
      </c>
      <c r="N4" s="94" t="s">
        <v>25</v>
      </c>
      <c r="O4" s="8" t="s">
        <v>26</v>
      </c>
      <c r="P4" s="11" t="s">
        <v>27</v>
      </c>
      <c r="Q4" s="93"/>
    </row>
    <row r="5" spans="1:19" s="78" customFormat="1" ht="35.1" customHeight="1">
      <c r="A5" s="152" t="s">
        <v>239</v>
      </c>
      <c r="B5" s="33" t="s">
        <v>231</v>
      </c>
      <c r="C5" s="21">
        <v>45991</v>
      </c>
      <c r="D5" s="21">
        <v>45991</v>
      </c>
      <c r="E5" s="33" t="s">
        <v>279</v>
      </c>
      <c r="F5" s="111" t="s">
        <v>233</v>
      </c>
      <c r="G5" s="33" t="s">
        <v>342</v>
      </c>
      <c r="H5" s="33" t="s">
        <v>343</v>
      </c>
      <c r="I5" s="33" t="s">
        <v>344</v>
      </c>
      <c r="J5" s="33">
        <v>100</v>
      </c>
      <c r="K5" s="33" t="s">
        <v>32</v>
      </c>
      <c r="L5" s="33" t="s">
        <v>48</v>
      </c>
      <c r="M5" s="33"/>
      <c r="N5" s="33"/>
      <c r="O5" s="13">
        <v>46022</v>
      </c>
      <c r="P5" s="17">
        <v>45849</v>
      </c>
      <c r="Q5" s="18"/>
      <c r="R5" s="95"/>
    </row>
    <row r="6" spans="1:19" s="78" customFormat="1" ht="35.1" customHeight="1">
      <c r="A6" s="153"/>
      <c r="B6" s="20" t="s">
        <v>231</v>
      </c>
      <c r="C6" s="21">
        <v>45991</v>
      </c>
      <c r="D6" s="21">
        <v>45991</v>
      </c>
      <c r="E6" s="20" t="s">
        <v>279</v>
      </c>
      <c r="F6" s="110" t="s">
        <v>233</v>
      </c>
      <c r="G6" s="20" t="s">
        <v>345</v>
      </c>
      <c r="H6" s="20" t="s">
        <v>346</v>
      </c>
      <c r="I6" s="20" t="s">
        <v>280</v>
      </c>
      <c r="J6" s="15">
        <v>691</v>
      </c>
      <c r="K6" s="20" t="s">
        <v>32</v>
      </c>
      <c r="L6" s="20" t="s">
        <v>48</v>
      </c>
      <c r="M6" s="33"/>
      <c r="N6" s="21"/>
      <c r="O6" s="13">
        <v>46022</v>
      </c>
      <c r="P6" s="17">
        <v>45849</v>
      </c>
      <c r="Q6" s="18"/>
      <c r="R6" s="95"/>
    </row>
    <row r="7" spans="1:19" s="78" customFormat="1" ht="35.1" customHeight="1">
      <c r="A7" s="153"/>
      <c r="B7" s="20" t="s">
        <v>231</v>
      </c>
      <c r="C7" s="21">
        <v>45991</v>
      </c>
      <c r="D7" s="21">
        <v>45991</v>
      </c>
      <c r="E7" s="20" t="s">
        <v>279</v>
      </c>
      <c r="F7" s="20" t="s">
        <v>233</v>
      </c>
      <c r="G7" s="20" t="s">
        <v>352</v>
      </c>
      <c r="H7" s="20" t="s">
        <v>353</v>
      </c>
      <c r="I7" s="20" t="s">
        <v>280</v>
      </c>
      <c r="J7" s="15">
        <v>315</v>
      </c>
      <c r="K7" s="20" t="s">
        <v>32</v>
      </c>
      <c r="L7" s="20" t="s">
        <v>50</v>
      </c>
      <c r="M7" s="33"/>
      <c r="N7" s="21"/>
      <c r="O7" s="13">
        <v>46022</v>
      </c>
      <c r="P7" s="17">
        <v>45849</v>
      </c>
      <c r="Q7" s="18"/>
      <c r="R7" s="95"/>
    </row>
    <row r="8" spans="1:19" s="78" customFormat="1" ht="35.1" customHeight="1">
      <c r="A8" s="153"/>
      <c r="B8" s="20" t="s">
        <v>231</v>
      </c>
      <c r="C8" s="21">
        <v>45991</v>
      </c>
      <c r="D8" s="21">
        <v>45991</v>
      </c>
      <c r="E8" s="20" t="s">
        <v>279</v>
      </c>
      <c r="F8" s="20" t="s">
        <v>233</v>
      </c>
      <c r="G8" s="20" t="s">
        <v>350</v>
      </c>
      <c r="H8" s="20" t="s">
        <v>351</v>
      </c>
      <c r="I8" s="20" t="s">
        <v>280</v>
      </c>
      <c r="J8" s="15">
        <v>524</v>
      </c>
      <c r="K8" s="20" t="s">
        <v>32</v>
      </c>
      <c r="L8" s="20" t="s">
        <v>84</v>
      </c>
      <c r="M8" s="33"/>
      <c r="N8" s="21"/>
      <c r="O8" s="13">
        <v>46022</v>
      </c>
      <c r="P8" s="17">
        <v>45849</v>
      </c>
      <c r="Q8" s="18"/>
      <c r="R8" s="95"/>
    </row>
    <row r="9" spans="1:19" s="19" customFormat="1" ht="35.1" customHeight="1">
      <c r="A9" s="153"/>
      <c r="B9" s="20" t="s">
        <v>231</v>
      </c>
      <c r="C9" s="21">
        <v>46006</v>
      </c>
      <c r="D9" s="21">
        <v>46006</v>
      </c>
      <c r="E9" s="20" t="s">
        <v>279</v>
      </c>
      <c r="F9" s="110" t="s">
        <v>233</v>
      </c>
      <c r="G9" s="20" t="s">
        <v>281</v>
      </c>
      <c r="H9" s="20" t="s">
        <v>282</v>
      </c>
      <c r="I9" s="20" t="s">
        <v>280</v>
      </c>
      <c r="J9" s="15">
        <v>218</v>
      </c>
      <c r="K9" s="20" t="s">
        <v>32</v>
      </c>
      <c r="L9" s="20" t="s">
        <v>84</v>
      </c>
      <c r="M9" s="33"/>
      <c r="N9" s="21"/>
      <c r="O9" s="13">
        <v>46037</v>
      </c>
      <c r="P9" s="79">
        <v>45849</v>
      </c>
      <c r="Q9" s="18"/>
      <c r="R9" s="95"/>
    </row>
    <row r="10" spans="1:19" s="19" customFormat="1" ht="35.1" customHeight="1" thickBot="1">
      <c r="A10" s="154"/>
      <c r="B10" s="16" t="s">
        <v>231</v>
      </c>
      <c r="C10" s="13">
        <v>46006</v>
      </c>
      <c r="D10" s="13">
        <v>46006</v>
      </c>
      <c r="E10" s="16" t="s">
        <v>232</v>
      </c>
      <c r="F10" s="80" t="s">
        <v>233</v>
      </c>
      <c r="G10" s="16" t="s">
        <v>250</v>
      </c>
      <c r="H10" s="16" t="s">
        <v>251</v>
      </c>
      <c r="I10" s="16" t="s">
        <v>234</v>
      </c>
      <c r="J10" s="15">
        <v>4500</v>
      </c>
      <c r="K10" s="12" t="s">
        <v>32</v>
      </c>
      <c r="L10" s="16" t="s">
        <v>235</v>
      </c>
      <c r="M10" s="16" t="s">
        <v>236</v>
      </c>
      <c r="N10" s="113" t="s">
        <v>378</v>
      </c>
      <c r="O10" s="13">
        <v>46081</v>
      </c>
      <c r="P10" s="17">
        <v>45835</v>
      </c>
      <c r="Q10" s="18"/>
      <c r="R10" s="95"/>
    </row>
    <row r="11" spans="1:19" ht="35.1" customHeight="1" thickBot="1">
      <c r="A11" s="24"/>
      <c r="B11" s="25"/>
      <c r="C11" s="26"/>
      <c r="D11" s="26"/>
      <c r="E11" s="25"/>
      <c r="F11" s="27"/>
      <c r="G11" s="25"/>
      <c r="H11" s="28"/>
      <c r="I11" s="25"/>
      <c r="J11" s="29">
        <v>6348</v>
      </c>
      <c r="K11" s="25"/>
      <c r="L11" s="25"/>
      <c r="M11" s="30"/>
      <c r="N11" s="31"/>
      <c r="O11" s="26"/>
      <c r="P11" s="32"/>
      <c r="Q11" s="18"/>
      <c r="R11" s="95"/>
      <c r="S11" s="19"/>
    </row>
    <row r="12" spans="1:19" ht="35.1" customHeight="1">
      <c r="A12" s="2" t="s">
        <v>13</v>
      </c>
      <c r="B12" s="3" t="s">
        <v>14</v>
      </c>
      <c r="C12" s="4" t="s">
        <v>15</v>
      </c>
      <c r="D12" s="4" t="s">
        <v>3</v>
      </c>
      <c r="E12" s="3" t="s">
        <v>16</v>
      </c>
      <c r="F12" s="3" t="s">
        <v>17</v>
      </c>
      <c r="G12" s="3" t="s">
        <v>18</v>
      </c>
      <c r="H12" s="3" t="s">
        <v>19</v>
      </c>
      <c r="I12" s="3" t="s">
        <v>20</v>
      </c>
      <c r="J12" s="6" t="s">
        <v>21</v>
      </c>
      <c r="K12" s="7" t="s">
        <v>22</v>
      </c>
      <c r="L12" s="3" t="s">
        <v>23</v>
      </c>
      <c r="M12" s="3" t="s">
        <v>24</v>
      </c>
      <c r="N12" s="3" t="s">
        <v>25</v>
      </c>
      <c r="O12" s="8" t="s">
        <v>26</v>
      </c>
      <c r="P12" s="9" t="s">
        <v>27</v>
      </c>
      <c r="Q12" s="18"/>
      <c r="R12" s="95"/>
      <c r="S12" s="19"/>
    </row>
    <row r="13" spans="1:19" s="78" customFormat="1" ht="35.1" customHeight="1">
      <c r="A13" s="132" t="s">
        <v>240</v>
      </c>
      <c r="B13" s="33" t="s">
        <v>231</v>
      </c>
      <c r="C13" s="21">
        <v>46006</v>
      </c>
      <c r="D13" s="21">
        <v>46006</v>
      </c>
      <c r="E13" s="33" t="s">
        <v>232</v>
      </c>
      <c r="F13" s="111" t="s">
        <v>233</v>
      </c>
      <c r="G13" s="33" t="s">
        <v>250</v>
      </c>
      <c r="H13" s="33" t="s">
        <v>251</v>
      </c>
      <c r="I13" s="33" t="s">
        <v>234</v>
      </c>
      <c r="J13" s="15">
        <v>7001</v>
      </c>
      <c r="K13" s="20" t="s">
        <v>32</v>
      </c>
      <c r="L13" s="33" t="s">
        <v>235</v>
      </c>
      <c r="M13" s="33" t="s">
        <v>236</v>
      </c>
      <c r="N13" s="113" t="s">
        <v>378</v>
      </c>
      <c r="O13" s="21">
        <v>46081</v>
      </c>
      <c r="P13" s="54">
        <v>45835</v>
      </c>
      <c r="Q13" s="114"/>
      <c r="R13" s="95"/>
    </row>
    <row r="14" spans="1:19" s="19" customFormat="1" ht="35.1" customHeight="1">
      <c r="A14" s="133"/>
      <c r="B14" s="20" t="s">
        <v>231</v>
      </c>
      <c r="C14" s="21">
        <v>46014</v>
      </c>
      <c r="D14" s="21">
        <v>46014</v>
      </c>
      <c r="E14" s="20" t="s">
        <v>232</v>
      </c>
      <c r="F14" s="22" t="s">
        <v>233</v>
      </c>
      <c r="G14" s="20" t="s">
        <v>241</v>
      </c>
      <c r="H14" s="20" t="s">
        <v>242</v>
      </c>
      <c r="I14" s="20" t="s">
        <v>243</v>
      </c>
      <c r="J14" s="15">
        <v>565</v>
      </c>
      <c r="K14" s="20" t="s">
        <v>56</v>
      </c>
      <c r="L14" s="20" t="s">
        <v>42</v>
      </c>
      <c r="M14" s="33"/>
      <c r="N14" s="33"/>
      <c r="O14" s="21">
        <v>46014</v>
      </c>
      <c r="P14" s="54">
        <v>45884</v>
      </c>
      <c r="Q14" s="18"/>
      <c r="R14" s="95"/>
    </row>
    <row r="15" spans="1:19" s="19" customFormat="1" ht="35.1" customHeight="1">
      <c r="A15" s="133"/>
      <c r="B15" s="20" t="s">
        <v>231</v>
      </c>
      <c r="C15" s="21">
        <v>46021</v>
      </c>
      <c r="D15" s="21">
        <v>46022</v>
      </c>
      <c r="E15" s="20" t="s">
        <v>232</v>
      </c>
      <c r="F15" s="22" t="s">
        <v>233</v>
      </c>
      <c r="G15" s="20" t="s">
        <v>244</v>
      </c>
      <c r="H15" s="20" t="s">
        <v>245</v>
      </c>
      <c r="I15" s="20" t="s">
        <v>246</v>
      </c>
      <c r="J15" s="15">
        <v>153</v>
      </c>
      <c r="K15" s="20" t="s">
        <v>32</v>
      </c>
      <c r="L15" s="20" t="s">
        <v>84</v>
      </c>
      <c r="M15" s="33"/>
      <c r="N15" s="33"/>
      <c r="O15" s="21">
        <v>46068</v>
      </c>
      <c r="P15" s="54">
        <v>45842</v>
      </c>
      <c r="Q15" s="18"/>
      <c r="R15" s="95"/>
    </row>
    <row r="16" spans="1:19" s="19" customFormat="1" ht="35.1" customHeight="1" thickBot="1">
      <c r="A16" s="134"/>
      <c r="B16" s="20" t="s">
        <v>231</v>
      </c>
      <c r="C16" s="21">
        <v>46022</v>
      </c>
      <c r="D16" s="21">
        <v>46022</v>
      </c>
      <c r="E16" s="20" t="s">
        <v>232</v>
      </c>
      <c r="F16" s="22" t="s">
        <v>233</v>
      </c>
      <c r="G16" s="20" t="s">
        <v>274</v>
      </c>
      <c r="H16" s="20" t="s">
        <v>275</v>
      </c>
      <c r="I16" s="20" t="s">
        <v>234</v>
      </c>
      <c r="J16" s="15">
        <v>7334</v>
      </c>
      <c r="K16" s="20" t="s">
        <v>102</v>
      </c>
      <c r="L16" s="20" t="s">
        <v>235</v>
      </c>
      <c r="M16" s="33" t="s">
        <v>371</v>
      </c>
      <c r="N16" s="21"/>
      <c r="O16" s="21">
        <v>46022</v>
      </c>
      <c r="P16" s="54">
        <v>45916</v>
      </c>
      <c r="Q16" s="18"/>
      <c r="R16" s="95"/>
    </row>
    <row r="17" spans="1:19" ht="35.1" customHeight="1" thickBot="1">
      <c r="A17" s="24"/>
      <c r="B17" s="25"/>
      <c r="C17" s="26"/>
      <c r="D17" s="26"/>
      <c r="E17" s="25"/>
      <c r="F17" s="27" t="s">
        <v>367</v>
      </c>
      <c r="G17" s="25"/>
      <c r="H17" s="28"/>
      <c r="I17" s="25"/>
      <c r="J17" s="29">
        <v>15053</v>
      </c>
      <c r="K17" s="25"/>
      <c r="L17" s="25"/>
      <c r="M17" s="30"/>
      <c r="N17" s="31"/>
      <c r="O17" s="26"/>
      <c r="P17" s="32"/>
      <c r="Q17" s="18"/>
      <c r="R17" s="95"/>
      <c r="S17" s="19"/>
    </row>
    <row r="18" spans="1:19" ht="35.1" customHeight="1">
      <c r="A18" s="2" t="s">
        <v>13</v>
      </c>
      <c r="B18" s="3" t="s">
        <v>14</v>
      </c>
      <c r="C18" s="4" t="s">
        <v>15</v>
      </c>
      <c r="D18" s="4" t="s">
        <v>3</v>
      </c>
      <c r="E18" s="3" t="s">
        <v>16</v>
      </c>
      <c r="F18" s="3" t="s">
        <v>17</v>
      </c>
      <c r="G18" s="3" t="s">
        <v>18</v>
      </c>
      <c r="H18" s="3" t="s">
        <v>19</v>
      </c>
      <c r="I18" s="3" t="s">
        <v>20</v>
      </c>
      <c r="J18" s="6" t="s">
        <v>21</v>
      </c>
      <c r="K18" s="7" t="s">
        <v>22</v>
      </c>
      <c r="L18" s="3" t="s">
        <v>23</v>
      </c>
      <c r="M18" s="3" t="s">
        <v>24</v>
      </c>
      <c r="N18" s="3" t="s">
        <v>25</v>
      </c>
      <c r="O18" s="8" t="s">
        <v>26</v>
      </c>
      <c r="P18" s="9" t="s">
        <v>27</v>
      </c>
      <c r="Q18" s="18"/>
      <c r="R18" s="95"/>
      <c r="S18" s="19"/>
    </row>
    <row r="19" spans="1:19" s="19" customFormat="1" ht="35.1" customHeight="1">
      <c r="A19" s="129" t="s">
        <v>249</v>
      </c>
      <c r="B19" s="20" t="s">
        <v>231</v>
      </c>
      <c r="C19" s="21">
        <v>46022</v>
      </c>
      <c r="D19" s="21">
        <v>46022</v>
      </c>
      <c r="E19" s="20" t="s">
        <v>232</v>
      </c>
      <c r="F19" s="22" t="s">
        <v>233</v>
      </c>
      <c r="G19" s="20" t="s">
        <v>274</v>
      </c>
      <c r="H19" s="20" t="s">
        <v>275</v>
      </c>
      <c r="I19" s="20" t="s">
        <v>234</v>
      </c>
      <c r="J19" s="15">
        <v>10000</v>
      </c>
      <c r="K19" s="20" t="s">
        <v>102</v>
      </c>
      <c r="L19" s="20" t="s">
        <v>235</v>
      </c>
      <c r="M19" s="33" t="s">
        <v>371</v>
      </c>
      <c r="N19" s="21"/>
      <c r="O19" s="21">
        <v>46022</v>
      </c>
      <c r="P19" s="54">
        <v>45916</v>
      </c>
      <c r="Q19" s="18"/>
      <c r="R19" s="95"/>
    </row>
    <row r="20" spans="1:19" s="19" customFormat="1" ht="35.1" customHeight="1" thickBot="1">
      <c r="A20" s="131"/>
      <c r="B20" s="117">
        <v>41514</v>
      </c>
      <c r="C20" s="118">
        <v>46022</v>
      </c>
      <c r="D20" s="118">
        <v>46022</v>
      </c>
      <c r="E20" s="117" t="s">
        <v>232</v>
      </c>
      <c r="F20" s="22" t="s">
        <v>233</v>
      </c>
      <c r="G20" s="117" t="s">
        <v>372</v>
      </c>
      <c r="H20" s="119" t="s">
        <v>375</v>
      </c>
      <c r="I20" s="117" t="s">
        <v>234</v>
      </c>
      <c r="J20" s="41">
        <v>11051</v>
      </c>
      <c r="K20" s="117" t="s">
        <v>32</v>
      </c>
      <c r="L20" s="117" t="s">
        <v>235</v>
      </c>
      <c r="M20" s="118" t="s">
        <v>373</v>
      </c>
      <c r="N20" s="118" t="s">
        <v>374</v>
      </c>
      <c r="O20" s="21">
        <v>46081</v>
      </c>
      <c r="P20" s="17">
        <v>45835</v>
      </c>
      <c r="Q20" s="18"/>
      <c r="R20" s="95"/>
    </row>
    <row r="21" spans="1:19" ht="35.1" customHeight="1" thickBot="1">
      <c r="A21" s="24"/>
      <c r="B21" s="25"/>
      <c r="C21" s="26"/>
      <c r="D21" s="26"/>
      <c r="E21" s="25"/>
      <c r="F21" s="27" t="s">
        <v>367</v>
      </c>
      <c r="G21" s="25"/>
      <c r="H21" s="28"/>
      <c r="I21" s="25"/>
      <c r="J21" s="29">
        <v>21051</v>
      </c>
      <c r="K21" s="25"/>
      <c r="L21" s="25"/>
      <c r="M21" s="30"/>
      <c r="N21" s="31"/>
      <c r="O21" s="26"/>
      <c r="P21" s="32"/>
      <c r="Q21" s="18"/>
      <c r="R21" s="95"/>
      <c r="S21" s="19"/>
    </row>
    <row r="22" spans="1:19" ht="35.1" customHeight="1">
      <c r="A22" s="2" t="s">
        <v>13</v>
      </c>
      <c r="B22" s="3" t="s">
        <v>14</v>
      </c>
      <c r="C22" s="4" t="s">
        <v>15</v>
      </c>
      <c r="D22" s="4" t="s">
        <v>3</v>
      </c>
      <c r="E22" s="3" t="s">
        <v>16</v>
      </c>
      <c r="F22" s="3" t="s">
        <v>17</v>
      </c>
      <c r="G22" s="3" t="s">
        <v>18</v>
      </c>
      <c r="H22" s="3" t="s">
        <v>19</v>
      </c>
      <c r="I22" s="3" t="s">
        <v>20</v>
      </c>
      <c r="J22" s="6" t="s">
        <v>21</v>
      </c>
      <c r="K22" s="7" t="s">
        <v>22</v>
      </c>
      <c r="L22" s="3" t="s">
        <v>23</v>
      </c>
      <c r="M22" s="3" t="s">
        <v>24</v>
      </c>
      <c r="N22" s="3" t="s">
        <v>25</v>
      </c>
      <c r="O22" s="8" t="s">
        <v>26</v>
      </c>
      <c r="P22" s="9" t="s">
        <v>27</v>
      </c>
      <c r="Q22" s="18"/>
      <c r="R22" s="95"/>
      <c r="S22" s="19"/>
    </row>
    <row r="23" spans="1:19" s="78" customFormat="1" ht="35.1" customHeight="1">
      <c r="A23" s="129" t="s">
        <v>323</v>
      </c>
      <c r="B23" s="119" t="s">
        <v>365</v>
      </c>
      <c r="C23" s="118">
        <v>46022</v>
      </c>
      <c r="D23" s="118">
        <v>46022</v>
      </c>
      <c r="E23" s="117" t="s">
        <v>356</v>
      </c>
      <c r="F23" s="120" t="s">
        <v>361</v>
      </c>
      <c r="G23" s="117" t="s">
        <v>380</v>
      </c>
      <c r="H23" s="117" t="s">
        <v>381</v>
      </c>
      <c r="I23" s="117" t="s">
        <v>358</v>
      </c>
      <c r="J23" s="41">
        <v>15140</v>
      </c>
      <c r="K23" s="117" t="s">
        <v>32</v>
      </c>
      <c r="L23" s="117" t="s">
        <v>235</v>
      </c>
      <c r="M23" s="38" t="s">
        <v>383</v>
      </c>
      <c r="N23" s="121" t="s">
        <v>384</v>
      </c>
      <c r="O23" s="122">
        <v>46081</v>
      </c>
      <c r="P23" s="123">
        <v>45835</v>
      </c>
      <c r="Q23" s="18"/>
      <c r="R23" s="95"/>
    </row>
    <row r="24" spans="1:19" s="78" customFormat="1" ht="35.1" customHeight="1" thickBot="1">
      <c r="A24" s="131"/>
      <c r="B24" s="20" t="s">
        <v>231</v>
      </c>
      <c r="C24" s="21">
        <v>46006</v>
      </c>
      <c r="D24" s="21">
        <v>46006</v>
      </c>
      <c r="E24" s="20" t="s">
        <v>258</v>
      </c>
      <c r="F24" s="20" t="s">
        <v>233</v>
      </c>
      <c r="G24" s="33" t="s">
        <v>262</v>
      </c>
      <c r="H24" s="115" t="s">
        <v>263</v>
      </c>
      <c r="I24" s="115" t="s">
        <v>264</v>
      </c>
      <c r="J24" s="116">
        <v>3029</v>
      </c>
      <c r="K24" s="33" t="s">
        <v>56</v>
      </c>
      <c r="L24" s="33" t="s">
        <v>235</v>
      </c>
      <c r="M24" s="33"/>
      <c r="N24" s="85" t="s">
        <v>369</v>
      </c>
      <c r="O24" s="23">
        <v>46006</v>
      </c>
      <c r="P24" s="108">
        <v>45807</v>
      </c>
      <c r="Q24" s="18"/>
      <c r="R24" s="95"/>
    </row>
    <row r="25" spans="1:19" ht="35.1" customHeight="1" thickBot="1">
      <c r="A25" s="24"/>
      <c r="B25" s="25"/>
      <c r="C25" s="26"/>
      <c r="D25" s="26"/>
      <c r="E25" s="25"/>
      <c r="F25" s="27" t="s">
        <v>367</v>
      </c>
      <c r="G25" s="25"/>
      <c r="H25" s="28"/>
      <c r="I25" s="25"/>
      <c r="J25" s="29">
        <v>18169</v>
      </c>
      <c r="K25" s="25"/>
      <c r="L25" s="25"/>
      <c r="M25" s="30"/>
      <c r="N25" s="31"/>
      <c r="O25" s="26"/>
      <c r="P25" s="32"/>
      <c r="Q25" s="18"/>
      <c r="R25" s="95"/>
      <c r="S25" s="19"/>
    </row>
    <row r="26" spans="1:19" ht="35.1" customHeight="1">
      <c r="A26" s="2" t="s">
        <v>13</v>
      </c>
      <c r="B26" s="3" t="s">
        <v>14</v>
      </c>
      <c r="C26" s="4" t="s">
        <v>15</v>
      </c>
      <c r="D26" s="4" t="s">
        <v>3</v>
      </c>
      <c r="E26" s="3" t="s">
        <v>16</v>
      </c>
      <c r="F26" s="3" t="s">
        <v>17</v>
      </c>
      <c r="G26" s="3" t="s">
        <v>18</v>
      </c>
      <c r="H26" s="3" t="s">
        <v>19</v>
      </c>
      <c r="I26" s="3" t="s">
        <v>20</v>
      </c>
      <c r="J26" s="6" t="s">
        <v>21</v>
      </c>
      <c r="K26" s="7" t="s">
        <v>22</v>
      </c>
      <c r="L26" s="3" t="s">
        <v>23</v>
      </c>
      <c r="M26" s="3" t="s">
        <v>24</v>
      </c>
      <c r="N26" s="3" t="s">
        <v>25</v>
      </c>
      <c r="O26" s="8" t="s">
        <v>26</v>
      </c>
      <c r="P26" s="9" t="s">
        <v>27</v>
      </c>
      <c r="Q26" s="18"/>
      <c r="R26" s="95"/>
      <c r="S26" s="19"/>
    </row>
    <row r="27" spans="1:19" s="78" customFormat="1" ht="35.1" customHeight="1">
      <c r="A27" s="129" t="s">
        <v>385</v>
      </c>
      <c r="B27" s="20" t="s">
        <v>231</v>
      </c>
      <c r="C27" s="21">
        <v>46006</v>
      </c>
      <c r="D27" s="21">
        <v>46006</v>
      </c>
      <c r="E27" s="20" t="s">
        <v>254</v>
      </c>
      <c r="F27" s="20" t="s">
        <v>233</v>
      </c>
      <c r="G27" s="33" t="s">
        <v>255</v>
      </c>
      <c r="H27" s="115" t="s">
        <v>256</v>
      </c>
      <c r="I27" s="115" t="s">
        <v>257</v>
      </c>
      <c r="J27" s="116">
        <v>3465</v>
      </c>
      <c r="K27" s="33" t="s">
        <v>56</v>
      </c>
      <c r="L27" s="33" t="s">
        <v>235</v>
      </c>
      <c r="M27" s="33"/>
      <c r="N27" s="85" t="s">
        <v>369</v>
      </c>
      <c r="O27" s="23">
        <v>46006</v>
      </c>
      <c r="P27" s="108">
        <v>45807</v>
      </c>
      <c r="Q27" s="18"/>
      <c r="R27" s="95"/>
    </row>
    <row r="28" spans="1:19" s="78" customFormat="1" ht="35.1" customHeight="1">
      <c r="A28" s="130"/>
      <c r="B28" s="20" t="s">
        <v>231</v>
      </c>
      <c r="C28" s="21">
        <v>45945</v>
      </c>
      <c r="D28" s="21">
        <v>46029</v>
      </c>
      <c r="E28" s="20" t="s">
        <v>258</v>
      </c>
      <c r="F28" s="20" t="s">
        <v>233</v>
      </c>
      <c r="G28" s="33" t="s">
        <v>333</v>
      </c>
      <c r="H28" s="115" t="s">
        <v>334</v>
      </c>
      <c r="I28" s="115" t="s">
        <v>277</v>
      </c>
      <c r="J28" s="116">
        <v>104</v>
      </c>
      <c r="K28" s="33" t="s">
        <v>32</v>
      </c>
      <c r="L28" s="33" t="s">
        <v>335</v>
      </c>
      <c r="M28" s="33"/>
      <c r="N28" s="85"/>
      <c r="O28" s="23">
        <v>46029</v>
      </c>
      <c r="P28" s="47">
        <v>45870</v>
      </c>
      <c r="Q28" s="18"/>
      <c r="R28" s="95"/>
    </row>
    <row r="29" spans="1:19" s="78" customFormat="1" ht="35.1" customHeight="1">
      <c r="A29" s="130"/>
      <c r="B29" s="20" t="s">
        <v>231</v>
      </c>
      <c r="C29" s="21">
        <v>46037</v>
      </c>
      <c r="D29" s="21">
        <v>46037</v>
      </c>
      <c r="E29" s="20" t="s">
        <v>258</v>
      </c>
      <c r="F29" s="20" t="s">
        <v>233</v>
      </c>
      <c r="G29" s="33" t="s">
        <v>338</v>
      </c>
      <c r="H29" s="115" t="s">
        <v>339</v>
      </c>
      <c r="I29" s="115" t="s">
        <v>267</v>
      </c>
      <c r="J29" s="116">
        <v>732</v>
      </c>
      <c r="K29" s="33" t="s">
        <v>56</v>
      </c>
      <c r="L29" s="33" t="s">
        <v>235</v>
      </c>
      <c r="M29" s="33"/>
      <c r="N29" s="85"/>
      <c r="O29" s="23">
        <v>46037</v>
      </c>
      <c r="P29" s="47">
        <v>45835</v>
      </c>
      <c r="Q29" s="18"/>
      <c r="R29" s="95"/>
    </row>
    <row r="30" spans="1:19" s="78" customFormat="1" ht="35.1" customHeight="1">
      <c r="A30" s="130"/>
      <c r="B30" s="20" t="s">
        <v>231</v>
      </c>
      <c r="C30" s="21">
        <v>46006</v>
      </c>
      <c r="D30" s="21">
        <v>46006</v>
      </c>
      <c r="E30" s="20" t="s">
        <v>268</v>
      </c>
      <c r="F30" s="20" t="s">
        <v>233</v>
      </c>
      <c r="G30" s="33" t="s">
        <v>269</v>
      </c>
      <c r="H30" s="115" t="s">
        <v>270</v>
      </c>
      <c r="I30" s="115" t="s">
        <v>271</v>
      </c>
      <c r="J30" s="116">
        <v>3832</v>
      </c>
      <c r="K30" s="33" t="s">
        <v>56</v>
      </c>
      <c r="L30" s="33" t="s">
        <v>235</v>
      </c>
      <c r="M30" s="33"/>
      <c r="N30" s="85" t="s">
        <v>369</v>
      </c>
      <c r="O30" s="23">
        <v>46037</v>
      </c>
      <c r="P30" s="47">
        <v>45835</v>
      </c>
      <c r="Q30" s="18"/>
      <c r="R30" s="95"/>
    </row>
    <row r="31" spans="1:19" s="78" customFormat="1" ht="35.1" customHeight="1">
      <c r="A31" s="130"/>
      <c r="B31" s="20" t="s">
        <v>231</v>
      </c>
      <c r="C31" s="21">
        <v>46037</v>
      </c>
      <c r="D31" s="21">
        <v>46037</v>
      </c>
      <c r="E31" s="20" t="s">
        <v>268</v>
      </c>
      <c r="F31" s="20" t="s">
        <v>233</v>
      </c>
      <c r="G31" s="33" t="s">
        <v>336</v>
      </c>
      <c r="H31" s="115" t="s">
        <v>337</v>
      </c>
      <c r="I31" s="115" t="s">
        <v>271</v>
      </c>
      <c r="J31" s="116">
        <v>2666</v>
      </c>
      <c r="K31" s="33" t="s">
        <v>56</v>
      </c>
      <c r="L31" s="33" t="s">
        <v>235</v>
      </c>
      <c r="M31" s="33"/>
      <c r="N31" s="85"/>
      <c r="O31" s="23">
        <v>46068</v>
      </c>
      <c r="P31" s="47">
        <v>45835</v>
      </c>
      <c r="Q31" s="18"/>
      <c r="R31" s="95"/>
    </row>
    <row r="32" spans="1:19" s="78" customFormat="1" ht="35.1" customHeight="1" thickBot="1">
      <c r="A32" s="131"/>
      <c r="B32" s="20" t="s">
        <v>231</v>
      </c>
      <c r="C32" s="21">
        <v>46053</v>
      </c>
      <c r="D32" s="21">
        <v>46053</v>
      </c>
      <c r="E32" s="20" t="s">
        <v>258</v>
      </c>
      <c r="F32" s="20" t="s">
        <v>233</v>
      </c>
      <c r="G32" s="33" t="s">
        <v>340</v>
      </c>
      <c r="H32" s="115" t="s">
        <v>341</v>
      </c>
      <c r="I32" s="115" t="s">
        <v>277</v>
      </c>
      <c r="J32" s="116">
        <v>153</v>
      </c>
      <c r="K32" s="33" t="s">
        <v>32</v>
      </c>
      <c r="L32" s="33" t="s">
        <v>84</v>
      </c>
      <c r="M32" s="33"/>
      <c r="N32" s="85"/>
      <c r="O32" s="23">
        <v>46053</v>
      </c>
      <c r="P32" s="47">
        <v>45835</v>
      </c>
      <c r="Q32" s="18"/>
      <c r="R32" s="95"/>
    </row>
    <row r="33" spans="1:19" ht="35.1" customHeight="1" thickBot="1">
      <c r="A33" s="24"/>
      <c r="B33" s="25"/>
      <c r="C33" s="26"/>
      <c r="D33" s="26"/>
      <c r="E33" s="25"/>
      <c r="F33" s="27"/>
      <c r="G33" s="25"/>
      <c r="H33" s="28"/>
      <c r="I33" s="25"/>
      <c r="J33" s="29">
        <v>10952</v>
      </c>
      <c r="K33" s="25"/>
      <c r="L33" s="25"/>
      <c r="M33" s="30"/>
      <c r="N33" s="31"/>
      <c r="O33" s="26"/>
      <c r="P33" s="32"/>
      <c r="Q33" s="18"/>
      <c r="R33" s="95"/>
      <c r="S33" s="19"/>
    </row>
    <row r="34" spans="1:19" s="19" customFormat="1" ht="35.1" customHeight="1" thickBot="1">
      <c r="A34" s="96"/>
      <c r="B34" s="97"/>
      <c r="C34" s="97"/>
      <c r="D34" s="97"/>
      <c r="E34" s="97"/>
      <c r="F34" s="97"/>
      <c r="G34" s="98"/>
      <c r="H34" s="135" t="s">
        <v>388</v>
      </c>
      <c r="I34" s="136"/>
      <c r="J34" s="136"/>
      <c r="K34" s="136"/>
      <c r="L34" s="137"/>
      <c r="M34" s="99"/>
      <c r="N34" s="100"/>
      <c r="O34" s="100"/>
      <c r="P34" s="101"/>
      <c r="Q34" s="18"/>
      <c r="R34" s="95"/>
    </row>
    <row r="35" spans="1:19" ht="35.1" customHeight="1">
      <c r="A35" s="81" t="s">
        <v>209</v>
      </c>
      <c r="B35" s="64"/>
      <c r="C35" s="64">
        <v>45991</v>
      </c>
      <c r="D35" s="64">
        <v>45992</v>
      </c>
      <c r="E35" s="64">
        <v>45993</v>
      </c>
      <c r="F35" s="64">
        <v>45994</v>
      </c>
      <c r="G35" s="64">
        <v>45995</v>
      </c>
      <c r="H35" s="64">
        <v>45996</v>
      </c>
      <c r="I35" s="64">
        <v>45997</v>
      </c>
      <c r="J35" s="64">
        <v>45998</v>
      </c>
      <c r="K35" s="64">
        <v>45999</v>
      </c>
      <c r="L35" s="64">
        <v>46000</v>
      </c>
      <c r="M35" s="64">
        <v>46001</v>
      </c>
      <c r="N35" s="64">
        <v>46002</v>
      </c>
      <c r="O35" s="64">
        <v>46003</v>
      </c>
      <c r="P35" s="65">
        <v>46004</v>
      </c>
      <c r="Q35" s="18"/>
      <c r="R35" s="18"/>
      <c r="S35" s="19"/>
    </row>
    <row r="36" spans="1:19" ht="35.1" customHeight="1">
      <c r="A36" s="66" t="s">
        <v>327</v>
      </c>
      <c r="B36" s="67"/>
      <c r="C36" s="67"/>
      <c r="D36" s="103"/>
      <c r="E36" s="16"/>
      <c r="F36" s="16"/>
      <c r="G36" s="16">
        <v>580</v>
      </c>
      <c r="H36" s="16">
        <v>580</v>
      </c>
      <c r="I36" s="16">
        <v>580</v>
      </c>
      <c r="J36" s="67"/>
      <c r="K36" s="16">
        <v>580</v>
      </c>
      <c r="L36" s="16">
        <v>580</v>
      </c>
      <c r="M36" s="16">
        <v>580</v>
      </c>
      <c r="N36" s="104">
        <v>580</v>
      </c>
      <c r="O36" s="16">
        <v>580</v>
      </c>
      <c r="P36" s="82">
        <v>580</v>
      </c>
      <c r="Q36" s="18"/>
      <c r="R36" s="18"/>
      <c r="S36" s="19"/>
    </row>
    <row r="37" spans="1:19" ht="35.1" customHeight="1">
      <c r="A37" s="66" t="s">
        <v>330</v>
      </c>
      <c r="B37" s="73"/>
      <c r="C37" s="73"/>
      <c r="D37" s="103"/>
      <c r="E37" s="16"/>
      <c r="F37" s="16"/>
      <c r="G37" s="16">
        <v>580</v>
      </c>
      <c r="H37" s="16">
        <v>580</v>
      </c>
      <c r="I37" s="16">
        <v>580</v>
      </c>
      <c r="J37" s="73"/>
      <c r="K37" s="16">
        <v>580</v>
      </c>
      <c r="L37" s="16">
        <v>580</v>
      </c>
      <c r="M37" s="16">
        <v>580</v>
      </c>
      <c r="N37" s="104">
        <v>580</v>
      </c>
      <c r="O37" s="16">
        <v>580</v>
      </c>
      <c r="P37" s="82">
        <v>580</v>
      </c>
      <c r="Q37" s="18"/>
      <c r="R37" s="18"/>
      <c r="S37" s="19"/>
    </row>
    <row r="38" spans="1:19" ht="35.1" customHeight="1">
      <c r="A38" s="66" t="s">
        <v>331</v>
      </c>
      <c r="B38" s="73"/>
      <c r="C38" s="73"/>
      <c r="D38" s="103"/>
      <c r="E38" s="16"/>
      <c r="F38" s="16"/>
      <c r="G38" s="16">
        <v>580</v>
      </c>
      <c r="H38" s="16">
        <v>580</v>
      </c>
      <c r="I38" s="16">
        <v>580</v>
      </c>
      <c r="J38" s="73"/>
      <c r="K38" s="16">
        <v>580</v>
      </c>
      <c r="L38" s="16">
        <v>580</v>
      </c>
      <c r="M38" s="16">
        <v>580</v>
      </c>
      <c r="N38" s="104">
        <v>580</v>
      </c>
      <c r="O38" s="16">
        <v>580</v>
      </c>
      <c r="P38" s="82">
        <v>580</v>
      </c>
      <c r="Q38" s="18"/>
      <c r="R38" s="18"/>
      <c r="S38" s="19"/>
    </row>
    <row r="39" spans="1:19" ht="35.1" customHeight="1">
      <c r="A39" s="102" t="s">
        <v>317</v>
      </c>
      <c r="B39" s="73"/>
      <c r="C39" s="73"/>
      <c r="D39" s="103"/>
      <c r="E39" s="16"/>
      <c r="F39" s="16"/>
      <c r="G39" s="16"/>
      <c r="H39" s="16"/>
      <c r="I39" s="16"/>
      <c r="J39" s="73"/>
      <c r="K39" s="16"/>
      <c r="L39" s="16"/>
      <c r="M39" s="16"/>
      <c r="N39" s="104"/>
      <c r="O39" s="16">
        <v>348</v>
      </c>
      <c r="P39" s="82">
        <v>464</v>
      </c>
      <c r="Q39" s="18"/>
      <c r="R39" s="18"/>
      <c r="S39" s="19"/>
    </row>
    <row r="40" spans="1:19" ht="35.1" customHeight="1">
      <c r="A40" s="102" t="s">
        <v>328</v>
      </c>
      <c r="B40" s="73"/>
      <c r="C40" s="73"/>
      <c r="D40" s="103"/>
      <c r="E40" s="16"/>
      <c r="F40" s="16"/>
      <c r="G40" s="16"/>
      <c r="H40" s="16"/>
      <c r="I40" s="16"/>
      <c r="J40" s="73"/>
      <c r="K40" s="16"/>
      <c r="L40" s="16"/>
      <c r="M40" s="16"/>
      <c r="N40" s="104"/>
      <c r="O40" s="16">
        <v>348</v>
      </c>
      <c r="P40" s="82">
        <v>464</v>
      </c>
      <c r="Q40" s="18"/>
      <c r="R40" s="18"/>
      <c r="S40" s="19"/>
    </row>
    <row r="41" spans="1:19" ht="35.1" customHeight="1">
      <c r="A41" s="102" t="s">
        <v>329</v>
      </c>
      <c r="B41" s="73"/>
      <c r="C41" s="73"/>
      <c r="D41" s="103"/>
      <c r="E41" s="16"/>
      <c r="F41" s="16"/>
      <c r="G41" s="16">
        <v>580</v>
      </c>
      <c r="H41" s="16">
        <v>580</v>
      </c>
      <c r="I41" s="16">
        <v>580</v>
      </c>
      <c r="J41" s="73"/>
      <c r="K41" s="16">
        <v>580</v>
      </c>
      <c r="L41" s="16">
        <v>580</v>
      </c>
      <c r="M41" s="16">
        <v>580</v>
      </c>
      <c r="N41" s="104">
        <v>580</v>
      </c>
      <c r="O41" s="16">
        <v>580</v>
      </c>
      <c r="P41" s="82">
        <v>580</v>
      </c>
      <c r="Q41" s="18"/>
      <c r="R41" s="18"/>
      <c r="S41" s="19"/>
    </row>
    <row r="42" spans="1:19" ht="35.1" customHeight="1">
      <c r="A42" s="102" t="s">
        <v>318</v>
      </c>
      <c r="B42" s="73"/>
      <c r="C42" s="73"/>
      <c r="D42" s="103"/>
      <c r="E42" s="16"/>
      <c r="F42" s="16"/>
      <c r="G42" s="16"/>
      <c r="H42" s="16"/>
      <c r="I42" s="16"/>
      <c r="J42" s="73"/>
      <c r="K42" s="16"/>
      <c r="L42" s="16"/>
      <c r="M42" s="16"/>
      <c r="N42" s="104"/>
      <c r="O42" s="16">
        <v>348</v>
      </c>
      <c r="P42" s="82">
        <v>464</v>
      </c>
      <c r="Q42" s="18"/>
      <c r="R42" s="18"/>
      <c r="S42" s="19"/>
    </row>
    <row r="43" spans="1:19" ht="35.1" customHeight="1">
      <c r="A43" s="81" t="s">
        <v>209</v>
      </c>
      <c r="B43" s="64"/>
      <c r="C43" s="64">
        <v>46005</v>
      </c>
      <c r="D43" s="64">
        <v>46006</v>
      </c>
      <c r="E43" s="64">
        <v>46007</v>
      </c>
      <c r="F43" s="64">
        <v>46008</v>
      </c>
      <c r="G43" s="64">
        <v>46009</v>
      </c>
      <c r="H43" s="64">
        <v>46010</v>
      </c>
      <c r="I43" s="64">
        <v>46011</v>
      </c>
      <c r="J43" s="64">
        <v>46012</v>
      </c>
      <c r="K43" s="64">
        <v>46013</v>
      </c>
      <c r="L43" s="64">
        <v>46014</v>
      </c>
      <c r="M43" s="64">
        <v>46015</v>
      </c>
      <c r="N43" s="64">
        <v>46016</v>
      </c>
      <c r="O43" s="64">
        <v>46017</v>
      </c>
      <c r="P43" s="65">
        <v>46018</v>
      </c>
      <c r="Q43" s="18"/>
      <c r="R43" s="77"/>
      <c r="S43" s="19"/>
    </row>
    <row r="44" spans="1:19" ht="35.1" customHeight="1">
      <c r="A44" s="66" t="s">
        <v>327</v>
      </c>
      <c r="B44" s="67"/>
      <c r="C44" s="67"/>
      <c r="D44" s="103">
        <v>580</v>
      </c>
      <c r="E44" s="103">
        <v>580</v>
      </c>
      <c r="F44" s="16">
        <v>580</v>
      </c>
      <c r="G44" s="16">
        <v>580</v>
      </c>
      <c r="H44" s="16">
        <v>580</v>
      </c>
      <c r="I44" s="16">
        <v>580</v>
      </c>
      <c r="J44" s="67"/>
      <c r="K44" s="16">
        <v>464</v>
      </c>
      <c r="L44" s="16">
        <v>580</v>
      </c>
      <c r="M44" s="16">
        <v>580</v>
      </c>
      <c r="N44" s="67"/>
      <c r="O44" s="16">
        <v>580</v>
      </c>
      <c r="P44" s="82">
        <v>580</v>
      </c>
      <c r="Q44" s="18"/>
      <c r="R44" s="77"/>
      <c r="S44" s="19"/>
    </row>
    <row r="45" spans="1:19" ht="35.1" customHeight="1">
      <c r="A45" s="66" t="s">
        <v>330</v>
      </c>
      <c r="B45" s="73"/>
      <c r="C45" s="73"/>
      <c r="D45" s="103">
        <v>580</v>
      </c>
      <c r="E45" s="103">
        <v>580</v>
      </c>
      <c r="F45" s="16">
        <v>580</v>
      </c>
      <c r="G45" s="16">
        <v>580</v>
      </c>
      <c r="H45" s="16">
        <v>580</v>
      </c>
      <c r="I45" s="16">
        <v>580</v>
      </c>
      <c r="J45" s="73"/>
      <c r="K45" s="16">
        <v>464</v>
      </c>
      <c r="L45" s="16">
        <v>580</v>
      </c>
      <c r="M45" s="16">
        <v>580</v>
      </c>
      <c r="N45" s="73"/>
      <c r="O45" s="16">
        <v>580</v>
      </c>
      <c r="P45" s="82">
        <v>580</v>
      </c>
      <c r="Q45" s="18"/>
      <c r="R45" s="77"/>
      <c r="S45" s="19"/>
    </row>
    <row r="46" spans="1:19" ht="35.1" customHeight="1">
      <c r="A46" s="66" t="s">
        <v>331</v>
      </c>
      <c r="B46" s="73"/>
      <c r="C46" s="73"/>
      <c r="D46" s="103">
        <v>580</v>
      </c>
      <c r="E46" s="103">
        <v>580</v>
      </c>
      <c r="F46" s="16">
        <v>580</v>
      </c>
      <c r="G46" s="16">
        <v>580</v>
      </c>
      <c r="H46" s="16">
        <v>580</v>
      </c>
      <c r="I46" s="16">
        <v>580</v>
      </c>
      <c r="J46" s="73"/>
      <c r="K46" s="16">
        <v>464</v>
      </c>
      <c r="L46" s="16">
        <v>580</v>
      </c>
      <c r="M46" s="16">
        <v>580</v>
      </c>
      <c r="N46" s="73"/>
      <c r="O46" s="16">
        <v>580</v>
      </c>
      <c r="P46" s="82">
        <v>580</v>
      </c>
      <c r="Q46" s="18"/>
      <c r="R46" s="77"/>
      <c r="S46" s="19"/>
    </row>
    <row r="47" spans="1:19" ht="35.1" customHeight="1">
      <c r="A47" s="102" t="s">
        <v>317</v>
      </c>
      <c r="B47" s="73"/>
      <c r="C47" s="73"/>
      <c r="D47" s="103">
        <v>580</v>
      </c>
      <c r="E47" s="103">
        <v>580</v>
      </c>
      <c r="F47" s="16">
        <v>580</v>
      </c>
      <c r="G47" s="16">
        <v>580</v>
      </c>
      <c r="H47" s="16">
        <v>580</v>
      </c>
      <c r="I47" s="16">
        <v>580</v>
      </c>
      <c r="J47" s="73"/>
      <c r="K47" s="16">
        <v>464</v>
      </c>
      <c r="L47" s="16">
        <v>580</v>
      </c>
      <c r="M47" s="16">
        <v>580</v>
      </c>
      <c r="N47" s="73"/>
      <c r="O47" s="16">
        <v>580</v>
      </c>
      <c r="P47" s="82">
        <v>580</v>
      </c>
      <c r="Q47" s="18"/>
      <c r="R47" s="77"/>
      <c r="S47" s="19"/>
    </row>
    <row r="48" spans="1:19" ht="35.1" customHeight="1">
      <c r="A48" s="102" t="s">
        <v>328</v>
      </c>
      <c r="B48" s="73"/>
      <c r="C48" s="73"/>
      <c r="D48" s="103">
        <v>580</v>
      </c>
      <c r="E48" s="103">
        <v>580</v>
      </c>
      <c r="F48" s="16">
        <v>580</v>
      </c>
      <c r="G48" s="16">
        <v>580</v>
      </c>
      <c r="H48" s="16">
        <v>580</v>
      </c>
      <c r="I48" s="16">
        <v>580</v>
      </c>
      <c r="J48" s="73"/>
      <c r="K48" s="16">
        <v>464</v>
      </c>
      <c r="L48" s="16">
        <v>580</v>
      </c>
      <c r="M48" s="16">
        <v>580</v>
      </c>
      <c r="N48" s="73"/>
      <c r="O48" s="16">
        <v>580</v>
      </c>
      <c r="P48" s="82">
        <v>580</v>
      </c>
      <c r="Q48" s="18"/>
      <c r="R48" s="77"/>
      <c r="S48" s="19"/>
    </row>
    <row r="49" spans="1:19" ht="35.1" customHeight="1">
      <c r="A49" s="102" t="s">
        <v>329</v>
      </c>
      <c r="B49" s="73"/>
      <c r="C49" s="73"/>
      <c r="D49" s="103">
        <v>580</v>
      </c>
      <c r="E49" s="103">
        <v>580</v>
      </c>
      <c r="F49" s="16">
        <v>580</v>
      </c>
      <c r="G49" s="16">
        <v>580</v>
      </c>
      <c r="H49" s="16">
        <v>580</v>
      </c>
      <c r="I49" s="16">
        <v>580</v>
      </c>
      <c r="J49" s="73"/>
      <c r="K49" s="16">
        <v>464</v>
      </c>
      <c r="L49" s="16">
        <v>580</v>
      </c>
      <c r="M49" s="16">
        <v>580</v>
      </c>
      <c r="N49" s="73"/>
      <c r="O49" s="16">
        <v>580</v>
      </c>
      <c r="P49" s="82">
        <v>580</v>
      </c>
      <c r="Q49" s="18"/>
      <c r="R49" s="77"/>
      <c r="S49" s="19"/>
    </row>
    <row r="50" spans="1:19" ht="35.1" customHeight="1">
      <c r="A50" s="102" t="s">
        <v>318</v>
      </c>
      <c r="B50" s="73"/>
      <c r="C50" s="73"/>
      <c r="D50" s="103">
        <v>580</v>
      </c>
      <c r="E50" s="103">
        <v>580</v>
      </c>
      <c r="F50" s="16">
        <v>580</v>
      </c>
      <c r="G50" s="16">
        <v>580</v>
      </c>
      <c r="H50" s="16">
        <v>580</v>
      </c>
      <c r="I50" s="16">
        <v>580</v>
      </c>
      <c r="J50" s="73"/>
      <c r="K50" s="16">
        <v>464</v>
      </c>
      <c r="L50" s="16">
        <v>580</v>
      </c>
      <c r="M50" s="16">
        <v>580</v>
      </c>
      <c r="N50" s="73"/>
      <c r="O50" s="16">
        <v>580</v>
      </c>
      <c r="P50" s="82">
        <v>580</v>
      </c>
      <c r="Q50" s="18"/>
      <c r="R50" s="77"/>
      <c r="S50" s="19"/>
    </row>
    <row r="51" spans="1:19" ht="35.1" customHeight="1">
      <c r="A51" s="81" t="s">
        <v>209</v>
      </c>
      <c r="B51" s="64"/>
      <c r="C51" s="64">
        <v>46019</v>
      </c>
      <c r="D51" s="64">
        <v>46020</v>
      </c>
      <c r="E51" s="64">
        <v>46021</v>
      </c>
      <c r="F51" s="64">
        <v>46022</v>
      </c>
      <c r="G51" s="64">
        <v>46023</v>
      </c>
      <c r="H51" s="64">
        <v>46024</v>
      </c>
      <c r="I51" s="64">
        <v>46025</v>
      </c>
      <c r="J51" s="64">
        <v>46026</v>
      </c>
      <c r="K51" s="64">
        <v>46027</v>
      </c>
      <c r="L51" s="64">
        <v>46028</v>
      </c>
      <c r="M51" s="64">
        <v>46029</v>
      </c>
      <c r="N51" s="64">
        <v>46030</v>
      </c>
      <c r="O51" s="64">
        <v>46031</v>
      </c>
      <c r="P51" s="65" t="s">
        <v>213</v>
      </c>
      <c r="Q51" s="18"/>
      <c r="R51" s="77"/>
      <c r="S51" s="19"/>
    </row>
    <row r="52" spans="1:19" ht="35.1" customHeight="1">
      <c r="A52" s="66" t="s">
        <v>327</v>
      </c>
      <c r="B52" s="67"/>
      <c r="C52" s="67"/>
      <c r="D52" s="103">
        <v>580</v>
      </c>
      <c r="E52" s="103">
        <v>50</v>
      </c>
      <c r="F52" s="16"/>
      <c r="G52" s="16"/>
      <c r="H52" s="16"/>
      <c r="I52" s="16"/>
      <c r="J52" s="67"/>
      <c r="K52" s="16"/>
      <c r="L52" s="16"/>
      <c r="M52" s="16"/>
      <c r="N52" s="16"/>
      <c r="O52" s="16"/>
      <c r="P52" s="82">
        <v>12114</v>
      </c>
      <c r="Q52" s="18"/>
      <c r="R52" s="77"/>
      <c r="S52" s="19"/>
    </row>
    <row r="53" spans="1:19" ht="35.1" customHeight="1">
      <c r="A53" s="66" t="s">
        <v>330</v>
      </c>
      <c r="B53" s="73"/>
      <c r="C53" s="73"/>
      <c r="D53" s="103">
        <v>580</v>
      </c>
      <c r="E53" s="103">
        <v>50</v>
      </c>
      <c r="F53" s="16"/>
      <c r="G53" s="16"/>
      <c r="H53" s="16"/>
      <c r="I53" s="16"/>
      <c r="J53" s="73"/>
      <c r="K53" s="16"/>
      <c r="L53" s="16"/>
      <c r="M53" s="16"/>
      <c r="N53" s="16"/>
      <c r="O53" s="16"/>
      <c r="P53" s="82">
        <v>12114</v>
      </c>
      <c r="Q53" s="18"/>
      <c r="R53" s="77"/>
      <c r="S53" s="19"/>
    </row>
    <row r="54" spans="1:19" ht="35.1" customHeight="1">
      <c r="A54" s="66" t="s">
        <v>331</v>
      </c>
      <c r="B54" s="73"/>
      <c r="C54" s="73"/>
      <c r="D54" s="103">
        <v>580</v>
      </c>
      <c r="E54" s="103">
        <v>50</v>
      </c>
      <c r="F54" s="16"/>
      <c r="G54" s="16"/>
      <c r="H54" s="16"/>
      <c r="I54" s="16"/>
      <c r="J54" s="73"/>
      <c r="K54" s="16"/>
      <c r="L54" s="16"/>
      <c r="M54" s="16"/>
      <c r="N54" s="16"/>
      <c r="O54" s="16"/>
      <c r="P54" s="82">
        <v>12114</v>
      </c>
      <c r="Q54" s="18"/>
      <c r="R54" s="77"/>
      <c r="S54" s="19"/>
    </row>
    <row r="55" spans="1:19" ht="35.1" customHeight="1">
      <c r="A55" s="102" t="s">
        <v>317</v>
      </c>
      <c r="B55" s="73"/>
      <c r="C55" s="73"/>
      <c r="D55" s="103">
        <v>580</v>
      </c>
      <c r="E55" s="103">
        <v>50</v>
      </c>
      <c r="F55" s="16"/>
      <c r="G55" s="16"/>
      <c r="H55" s="16"/>
      <c r="I55" s="16"/>
      <c r="J55" s="73"/>
      <c r="K55" s="16"/>
      <c r="L55" s="16"/>
      <c r="M55" s="16"/>
      <c r="N55" s="16"/>
      <c r="O55" s="16"/>
      <c r="P55" s="82">
        <v>7706</v>
      </c>
      <c r="Q55" s="18"/>
      <c r="R55" s="77"/>
      <c r="S55" s="19"/>
    </row>
    <row r="56" spans="1:19" ht="35.1" customHeight="1">
      <c r="A56" s="102" t="s">
        <v>328</v>
      </c>
      <c r="B56" s="73"/>
      <c r="C56" s="73"/>
      <c r="D56" s="103">
        <v>580</v>
      </c>
      <c r="E56" s="103">
        <v>50</v>
      </c>
      <c r="F56" s="16"/>
      <c r="G56" s="16"/>
      <c r="H56" s="16"/>
      <c r="I56" s="16"/>
      <c r="J56" s="73"/>
      <c r="K56" s="16"/>
      <c r="L56" s="16"/>
      <c r="M56" s="16"/>
      <c r="N56" s="16"/>
      <c r="O56" s="16"/>
      <c r="P56" s="82">
        <v>7706</v>
      </c>
      <c r="Q56" s="18"/>
      <c r="R56" s="77"/>
      <c r="S56" s="19"/>
    </row>
    <row r="57" spans="1:19" ht="35.1" customHeight="1">
      <c r="A57" s="102" t="s">
        <v>329</v>
      </c>
      <c r="B57" s="73"/>
      <c r="C57" s="73"/>
      <c r="D57" s="103">
        <v>580</v>
      </c>
      <c r="E57" s="103">
        <v>50</v>
      </c>
      <c r="F57" s="16"/>
      <c r="G57" s="16"/>
      <c r="H57" s="16"/>
      <c r="I57" s="16"/>
      <c r="J57" s="73"/>
      <c r="K57" s="16"/>
      <c r="L57" s="16"/>
      <c r="M57" s="16"/>
      <c r="N57" s="16"/>
      <c r="O57" s="16"/>
      <c r="P57" s="82">
        <v>12114</v>
      </c>
      <c r="Q57" s="18"/>
      <c r="R57" s="77"/>
      <c r="S57" s="19"/>
    </row>
    <row r="58" spans="1:19" ht="35.1" customHeight="1">
      <c r="A58" s="102" t="s">
        <v>318</v>
      </c>
      <c r="B58" s="73"/>
      <c r="C58" s="73"/>
      <c r="D58" s="103">
        <v>580</v>
      </c>
      <c r="E58" s="103">
        <v>49</v>
      </c>
      <c r="F58" s="16"/>
      <c r="G58" s="16"/>
      <c r="H58" s="16"/>
      <c r="I58" s="16"/>
      <c r="J58" s="73"/>
      <c r="K58" s="16"/>
      <c r="L58" s="16"/>
      <c r="M58" s="16"/>
      <c r="N58" s="16"/>
      <c r="O58" s="16"/>
      <c r="P58" s="82">
        <v>7705</v>
      </c>
      <c r="Q58" s="18"/>
      <c r="R58" s="77"/>
      <c r="S58" s="19"/>
    </row>
    <row r="59" spans="1:19" ht="35.1" customHeight="1">
      <c r="A59" s="138" t="s">
        <v>214</v>
      </c>
      <c r="B59" s="139"/>
      <c r="C59" s="139"/>
      <c r="D59" s="139"/>
      <c r="E59" s="140"/>
      <c r="F59" s="155" t="s">
        <v>215</v>
      </c>
      <c r="G59" s="156"/>
      <c r="H59" s="145"/>
      <c r="I59" s="145"/>
      <c r="J59" s="145"/>
      <c r="K59" s="146"/>
      <c r="L59" s="150" t="s">
        <v>324</v>
      </c>
      <c r="M59" s="139"/>
      <c r="N59" s="139"/>
      <c r="O59" s="140"/>
      <c r="P59" s="127">
        <v>71573</v>
      </c>
      <c r="Q59" s="18"/>
      <c r="R59" s="77"/>
      <c r="S59" s="19"/>
    </row>
    <row r="60" spans="1:19" ht="35.1" customHeight="1" thickBot="1">
      <c r="A60" s="141"/>
      <c r="B60" s="142"/>
      <c r="C60" s="142"/>
      <c r="D60" s="142"/>
      <c r="E60" s="143"/>
      <c r="F60" s="147"/>
      <c r="G60" s="148"/>
      <c r="H60" s="148"/>
      <c r="I60" s="148"/>
      <c r="J60" s="148"/>
      <c r="K60" s="149"/>
      <c r="L60" s="151"/>
      <c r="M60" s="142"/>
      <c r="N60" s="142"/>
      <c r="O60" s="143"/>
      <c r="P60" s="128"/>
      <c r="Q60" s="18"/>
      <c r="R60" s="77"/>
      <c r="S60" s="19"/>
    </row>
    <row r="61" spans="1:19" ht="35.1" customHeight="1">
      <c r="H61" s="106"/>
      <c r="M61" s="1" t="s">
        <v>332</v>
      </c>
      <c r="Q61" s="18"/>
      <c r="R61" s="77"/>
      <c r="S61" s="19"/>
    </row>
    <row r="62" spans="1:19" ht="35.1" customHeight="1">
      <c r="H62" s="106"/>
    </row>
    <row r="63" spans="1:19" ht="35.1" customHeight="1">
      <c r="H63" s="106"/>
    </row>
    <row r="64" spans="1:19" ht="35.1" customHeight="1">
      <c r="H64" s="106"/>
    </row>
    <row r="65" spans="1:19" s="19" customFormat="1" ht="35.1" customHeight="1">
      <c r="A65" s="1"/>
      <c r="B65" s="1"/>
      <c r="C65" s="1"/>
      <c r="D65" s="1"/>
      <c r="E65" s="1"/>
      <c r="F65" s="1"/>
      <c r="G65" s="1"/>
      <c r="H65" s="106"/>
      <c r="I65" s="1"/>
      <c r="J65" s="1"/>
      <c r="K65" s="1"/>
      <c r="L65" s="1"/>
      <c r="M65" s="1"/>
      <c r="N65" s="1"/>
      <c r="O65" s="1"/>
      <c r="P65" s="1"/>
      <c r="Q65" s="1"/>
      <c r="S65" s="1"/>
    </row>
    <row r="66" spans="1:19" s="19" customFormat="1" ht="35.1" customHeight="1">
      <c r="A66" s="1"/>
      <c r="B66" s="1"/>
      <c r="C66" s="1"/>
      <c r="D66" s="1"/>
      <c r="E66" s="1"/>
      <c r="F66" s="1"/>
      <c r="G66" s="1"/>
      <c r="H66" s="106"/>
      <c r="I66" s="1"/>
      <c r="J66" s="1"/>
      <c r="K66" s="1"/>
      <c r="L66" s="1"/>
      <c r="M66" s="1"/>
      <c r="N66" s="1"/>
      <c r="O66" s="1"/>
      <c r="P66" s="1"/>
      <c r="Q66" s="1"/>
      <c r="S66" s="1"/>
    </row>
    <row r="67" spans="1:19" s="19" customFormat="1" ht="35.1" customHeight="1">
      <c r="A67" s="1"/>
      <c r="B67" s="1"/>
      <c r="C67" s="1"/>
      <c r="D67" s="1"/>
      <c r="E67" s="1"/>
      <c r="F67" s="1"/>
      <c r="G67" s="1"/>
      <c r="H67" s="106"/>
      <c r="I67" s="1"/>
      <c r="J67" s="1"/>
      <c r="K67" s="1"/>
      <c r="L67" s="1"/>
      <c r="M67" s="1"/>
      <c r="N67" s="1"/>
      <c r="O67" s="1"/>
      <c r="P67" s="1"/>
      <c r="Q67" s="1"/>
      <c r="S67" s="1"/>
    </row>
    <row r="68" spans="1:19" s="19" customFormat="1" ht="35.1" customHeight="1">
      <c r="A68" s="1"/>
      <c r="B68" s="1"/>
      <c r="C68" s="1"/>
      <c r="D68" s="1"/>
      <c r="E68" s="1"/>
      <c r="F68" s="1"/>
      <c r="G68" s="1"/>
      <c r="H68" s="106"/>
      <c r="I68" s="1"/>
      <c r="J68" s="1"/>
      <c r="K68" s="1"/>
      <c r="L68" s="1"/>
      <c r="M68" s="1"/>
      <c r="N68" s="1"/>
      <c r="O68" s="1"/>
      <c r="P68" s="1"/>
      <c r="Q68" s="1"/>
      <c r="S68" s="1"/>
    </row>
    <row r="69" spans="1:19" s="19" customFormat="1" ht="35.1" customHeight="1">
      <c r="A69" s="1"/>
      <c r="B69" s="1"/>
      <c r="C69" s="1"/>
      <c r="D69" s="1"/>
      <c r="E69" s="1"/>
      <c r="F69" s="1"/>
      <c r="G69" s="1"/>
      <c r="H69" s="106"/>
      <c r="I69" s="1"/>
      <c r="J69" s="1"/>
      <c r="K69" s="1"/>
      <c r="L69" s="1"/>
      <c r="M69" s="1"/>
      <c r="N69" s="1"/>
      <c r="O69" s="1"/>
      <c r="P69" s="1"/>
      <c r="Q69" s="1"/>
      <c r="S69" s="1"/>
    </row>
    <row r="70" spans="1:19" s="19" customFormat="1" ht="35.1" customHeight="1">
      <c r="A70" s="1"/>
      <c r="B70" s="1"/>
      <c r="C70" s="1"/>
      <c r="D70" s="1"/>
      <c r="E70" s="1"/>
      <c r="F70" s="1"/>
      <c r="G70" s="1"/>
      <c r="H70" s="106"/>
      <c r="I70" s="1"/>
      <c r="J70" s="1"/>
      <c r="K70" s="1"/>
      <c r="L70" s="1"/>
      <c r="M70" s="1"/>
      <c r="N70" s="1"/>
      <c r="O70" s="1"/>
      <c r="P70" s="1"/>
      <c r="Q70" s="1"/>
      <c r="S70" s="1"/>
    </row>
    <row r="71" spans="1:19" s="19" customFormat="1" ht="35.1" customHeight="1">
      <c r="A71" s="1"/>
      <c r="B71" s="1"/>
      <c r="C71" s="1"/>
      <c r="D71" s="1"/>
      <c r="E71" s="1"/>
      <c r="F71" s="1"/>
      <c r="G71" s="1"/>
      <c r="H71" s="106"/>
      <c r="I71" s="1"/>
      <c r="J71" s="1"/>
      <c r="K71" s="1"/>
      <c r="L71" s="1"/>
      <c r="M71" s="1"/>
      <c r="N71" s="1"/>
      <c r="O71" s="1"/>
      <c r="P71" s="1"/>
      <c r="Q71" s="1"/>
      <c r="S71" s="1"/>
    </row>
    <row r="72" spans="1:19" s="19" customFormat="1" ht="35.1" customHeight="1">
      <c r="A72" s="1"/>
      <c r="B72" s="1"/>
      <c r="C72" s="1"/>
      <c r="D72" s="1"/>
      <c r="E72" s="1"/>
      <c r="F72" s="1"/>
      <c r="G72" s="1"/>
      <c r="H72" s="106"/>
      <c r="I72" s="1"/>
      <c r="J72" s="1"/>
      <c r="K72" s="1"/>
      <c r="L72" s="1"/>
      <c r="M72" s="1"/>
      <c r="N72" s="1"/>
      <c r="O72" s="1"/>
      <c r="P72" s="1"/>
      <c r="Q72" s="1"/>
      <c r="S72" s="1"/>
    </row>
    <row r="73" spans="1:19" s="19" customFormat="1" ht="35.1" customHeight="1">
      <c r="A73" s="1"/>
      <c r="B73" s="1"/>
      <c r="C73" s="1"/>
      <c r="D73" s="1"/>
      <c r="E73" s="1"/>
      <c r="F73" s="1"/>
      <c r="G73" s="1"/>
      <c r="H73" s="106"/>
      <c r="I73" s="1"/>
      <c r="J73" s="1"/>
      <c r="K73" s="1"/>
      <c r="L73" s="1"/>
      <c r="M73" s="1"/>
      <c r="N73" s="1"/>
      <c r="O73" s="1"/>
      <c r="P73" s="1"/>
      <c r="Q73" s="1"/>
      <c r="S73" s="1"/>
    </row>
    <row r="74" spans="1:19" s="19" customFormat="1" ht="35.1" customHeight="1">
      <c r="A74" s="1"/>
      <c r="B74" s="1"/>
      <c r="C74" s="1"/>
      <c r="D74" s="1"/>
      <c r="E74" s="1"/>
      <c r="F74" s="1"/>
      <c r="G74" s="1"/>
      <c r="H74" s="106"/>
      <c r="I74" s="1"/>
      <c r="J74" s="1"/>
      <c r="K74" s="1"/>
      <c r="L74" s="1"/>
      <c r="M74" s="1"/>
      <c r="N74" s="1"/>
      <c r="O74" s="1"/>
      <c r="P74" s="1"/>
      <c r="Q74" s="1"/>
      <c r="S74" s="1"/>
    </row>
    <row r="75" spans="1:19" s="19" customFormat="1" ht="35.1" customHeight="1">
      <c r="A75" s="1"/>
      <c r="B75" s="1"/>
      <c r="C75" s="1"/>
      <c r="D75" s="1"/>
      <c r="E75" s="1"/>
      <c r="F75" s="1"/>
      <c r="G75" s="1"/>
      <c r="H75" s="106"/>
      <c r="I75" s="1"/>
      <c r="J75" s="1"/>
      <c r="K75" s="1"/>
      <c r="L75" s="1"/>
      <c r="M75" s="1"/>
      <c r="N75" s="1"/>
      <c r="O75" s="1"/>
      <c r="P75" s="1"/>
      <c r="Q75" s="1"/>
      <c r="S75" s="1"/>
    </row>
    <row r="76" spans="1:19" s="19" customFormat="1" ht="35.1" customHeight="1">
      <c r="A76" s="1"/>
      <c r="B76" s="1"/>
      <c r="C76" s="1"/>
      <c r="D76" s="1"/>
      <c r="E76" s="1"/>
      <c r="F76" s="1"/>
      <c r="G76" s="1"/>
      <c r="H76" s="106"/>
      <c r="I76" s="1"/>
      <c r="J76" s="1"/>
      <c r="K76" s="1"/>
      <c r="L76" s="1"/>
      <c r="M76" s="1"/>
      <c r="N76" s="1"/>
      <c r="O76" s="1"/>
      <c r="P76" s="1"/>
      <c r="Q76" s="1"/>
      <c r="S76" s="1"/>
    </row>
    <row r="77" spans="1:19" s="19" customFormat="1" ht="35.1" customHeight="1">
      <c r="A77" s="1"/>
      <c r="B77" s="1"/>
      <c r="C77" s="1"/>
      <c r="D77" s="1"/>
      <c r="E77" s="1"/>
      <c r="F77" s="1"/>
      <c r="G77" s="1"/>
      <c r="H77" s="106"/>
      <c r="I77" s="1"/>
      <c r="J77" s="1"/>
      <c r="K77" s="1"/>
      <c r="L77" s="1"/>
      <c r="M77" s="1"/>
      <c r="N77" s="1"/>
      <c r="O77" s="1"/>
      <c r="P77" s="1"/>
      <c r="Q77" s="1"/>
      <c r="S77" s="1"/>
    </row>
    <row r="78" spans="1:19" s="19" customFormat="1" ht="35.1" customHeight="1">
      <c r="A78" s="1"/>
      <c r="B78" s="1"/>
      <c r="C78" s="1"/>
      <c r="D78" s="1"/>
      <c r="E78" s="1"/>
      <c r="F78" s="1"/>
      <c r="G78" s="1"/>
      <c r="H78" s="106"/>
      <c r="I78" s="1"/>
      <c r="J78" s="1"/>
      <c r="K78" s="1"/>
      <c r="L78" s="1"/>
      <c r="M78" s="1"/>
      <c r="N78" s="1"/>
      <c r="O78" s="1"/>
      <c r="P78" s="1"/>
      <c r="Q78" s="1"/>
      <c r="S78" s="1"/>
    </row>
    <row r="79" spans="1:19" s="19" customFormat="1" ht="35.1" customHeight="1">
      <c r="A79" s="1"/>
      <c r="B79" s="1"/>
      <c r="C79" s="1"/>
      <c r="D79" s="1"/>
      <c r="E79" s="1"/>
      <c r="F79" s="1"/>
      <c r="G79" s="1"/>
      <c r="H79" s="106"/>
      <c r="I79" s="1"/>
      <c r="J79" s="1"/>
      <c r="K79" s="1"/>
      <c r="L79" s="1"/>
      <c r="M79" s="1"/>
      <c r="N79" s="1"/>
      <c r="O79" s="1"/>
      <c r="P79" s="1"/>
      <c r="Q79" s="1"/>
      <c r="S79" s="1"/>
    </row>
    <row r="80" spans="1:19" s="19" customFormat="1" ht="35.1" customHeight="1">
      <c r="A80" s="1"/>
      <c r="B80" s="1"/>
      <c r="C80" s="1"/>
      <c r="D80" s="1"/>
      <c r="E80" s="1"/>
      <c r="F80" s="1"/>
      <c r="G80" s="1"/>
      <c r="H80" s="106"/>
      <c r="I80" s="1"/>
      <c r="J80" s="1"/>
      <c r="K80" s="1"/>
      <c r="L80" s="1"/>
      <c r="M80" s="1"/>
      <c r="N80" s="1"/>
      <c r="O80" s="1"/>
      <c r="P80" s="1"/>
      <c r="Q80" s="1"/>
      <c r="S80" s="1"/>
    </row>
    <row r="81" spans="1:19" s="19" customFormat="1" ht="35.1" customHeight="1">
      <c r="A81" s="1"/>
      <c r="B81" s="1"/>
      <c r="C81" s="1"/>
      <c r="D81" s="1"/>
      <c r="E81" s="1"/>
      <c r="F81" s="1"/>
      <c r="G81" s="1"/>
      <c r="H81" s="106"/>
      <c r="I81" s="1"/>
      <c r="J81" s="1"/>
      <c r="K81" s="1"/>
      <c r="L81" s="1"/>
      <c r="M81" s="1"/>
      <c r="N81" s="1"/>
      <c r="O81" s="1"/>
      <c r="P81" s="1"/>
      <c r="Q81" s="1"/>
      <c r="S81" s="1"/>
    </row>
  </sheetData>
  <mergeCells count="12">
    <mergeCell ref="P59:P60"/>
    <mergeCell ref="A19:A20"/>
    <mergeCell ref="A1:P1"/>
    <mergeCell ref="A2:P2"/>
    <mergeCell ref="A5:A10"/>
    <mergeCell ref="A13:A16"/>
    <mergeCell ref="A23:A24"/>
    <mergeCell ref="A27:A32"/>
    <mergeCell ref="H34:L34"/>
    <mergeCell ref="A59:E60"/>
    <mergeCell ref="F59:K60"/>
    <mergeCell ref="L59:O60"/>
  </mergeCells>
  <printOptions horizontalCentered="1" verticalCentered="1"/>
  <pageMargins left="0" right="0" top="0" bottom="0" header="0" footer="0"/>
  <pageSetup paperSize="9" scale="56" fitToHeight="0" orientation="landscape" r:id="rId1"/>
  <rowBreaks count="1" manualBreakCount="1">
    <brk id="30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AP10 1,2,3</vt:lpstr>
      <vt:lpstr>AP10 12,13</vt:lpstr>
      <vt:lpstr>AP10 1,2,3,5,7,8,9,15,17,18</vt:lpstr>
      <vt:lpstr>AP11 1,3,5,7,8,9,10</vt:lpstr>
      <vt:lpstr>AP11 2,7,10</vt:lpstr>
      <vt:lpstr>AP11 7,8,10</vt:lpstr>
      <vt:lpstr>AP11 1,3,5,7,8,9,10 new</vt:lpstr>
      <vt:lpstr>'AP10 1,2,3'!Print_Area</vt:lpstr>
      <vt:lpstr>'AP10 1,2,3,5,7,8,9,15,17,18'!Print_Area</vt:lpstr>
      <vt:lpstr>'AP10 12,13'!Print_Area</vt:lpstr>
      <vt:lpstr>'AP11 1,3,5,7,8,9,10'!Print_Area</vt:lpstr>
      <vt:lpstr>'AP11 1,3,5,7,8,9,10 new'!Print_Area</vt:lpstr>
      <vt:lpstr>'AP11 2,7,10'!Print_Area</vt:lpstr>
      <vt:lpstr>'AP11 7,8,10'!Print_Area</vt:lpstr>
      <vt:lpstr>'AP10 1,2,3'!Print_Titles</vt:lpstr>
      <vt:lpstr>'AP10 1,2,3,5,7,8,9,15,17,18'!Print_Titles</vt:lpstr>
      <vt:lpstr>'AP10 12,13'!Print_Titles</vt:lpstr>
      <vt:lpstr>'AP11 1,3,5,7,8,9,10'!Print_Titles</vt:lpstr>
      <vt:lpstr>'AP11 1,3,5,7,8,9,10 new'!Print_Titles</vt:lpstr>
      <vt:lpstr>'AP11 2,7,10'!Print_Titles</vt:lpstr>
      <vt:lpstr>'AP11 7,8,10'!Print_Titles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sailu-m</dc:creator>
  <cp:lastModifiedBy>rajasekhar-y</cp:lastModifiedBy>
  <cp:lastPrinted>2025-11-10T12:01:54Z</cp:lastPrinted>
  <dcterms:created xsi:type="dcterms:W3CDTF">2025-11-05T09:44:57Z</dcterms:created>
  <dcterms:modified xsi:type="dcterms:W3CDTF">2025-11-10T12:06:18Z</dcterms:modified>
</cp:coreProperties>
</file>