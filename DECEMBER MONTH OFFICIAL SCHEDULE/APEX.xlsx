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asekhar-y\Desktop\"/>
    </mc:Choice>
  </mc:AlternateContent>
  <bookViews>
    <workbookView xWindow="0" yWindow="0" windowWidth="20490" windowHeight="7455" activeTab="1"/>
  </bookViews>
  <sheets>
    <sheet name="Sheet1" sheetId="1" r:id="rId1"/>
    <sheet name="APEX" sheetId="2" r:id="rId2"/>
  </sheets>
  <externalReferences>
    <externalReference r:id="rId3"/>
  </externalReferences>
  <definedNames>
    <definedName name="_1Excel_BuiltIn__FilterDatabase_1" localSheetId="1">#REF!</definedName>
    <definedName name="_1Excel_BuiltIn__FilterDatabase_1">#REF!</definedName>
    <definedName name="_xlnm._FilterDatabase" localSheetId="1" hidden="1">APEX!#REF!</definedName>
    <definedName name="a" localSheetId="1">#REF!</definedName>
    <definedName name="a">#REF!</definedName>
    <definedName name="AAAAA" localSheetId="1">#REF!</definedName>
    <definedName name="AAAAA">#REF!</definedName>
    <definedName name="asss" localSheetId="1">#REF!</definedName>
    <definedName name="asss">#REF!</definedName>
    <definedName name="bbbb" localSheetId="1">#REF!</definedName>
    <definedName name="bbbb">#REF!</definedName>
    <definedName name="d1jan" localSheetId="1">#REF!</definedName>
    <definedName name="d1jan">#REF!</definedName>
    <definedName name="D1JANUARY" localSheetId="1">#REF!</definedName>
    <definedName name="D1JANUARY">#REF!</definedName>
    <definedName name="DDDDDDDDD" localSheetId="1">#REF!</definedName>
    <definedName name="DDDDDDDDD">#REF!</definedName>
    <definedName name="dffff" localSheetId="1">#REF!</definedName>
    <definedName name="dffff">#REF!</definedName>
    <definedName name="dfsfdsfdsf" localSheetId="1">#REF!</definedName>
    <definedName name="dfsfdsfdsf">#REF!</definedName>
    <definedName name="eeee" localSheetId="1">#REF!</definedName>
    <definedName name="eeee">#REF!</definedName>
    <definedName name="eeeerrrrr" localSheetId="1">#REF!</definedName>
    <definedName name="eeeerrrrr">#REF!</definedName>
    <definedName name="eerrr" localSheetId="1">#REF!</definedName>
    <definedName name="eerrr">#REF!</definedName>
    <definedName name="errttt" localSheetId="1">#REF!</definedName>
    <definedName name="errttt">#REF!</definedName>
    <definedName name="Excel_BuiltIn__FilterDatabase" localSheetId="1">#REF!</definedName>
    <definedName name="Excel_BuiltIn__FilterDatabase">#REF!</definedName>
    <definedName name="ffff" localSheetId="1">#REF!</definedName>
    <definedName name="ffff">#REF!</definedName>
    <definedName name="FFFFF" localSheetId="1">#REF!</definedName>
    <definedName name="FFFFF">#REF!</definedName>
    <definedName name="ffffff" localSheetId="1">#REF!</definedName>
    <definedName name="ffffff">#REF!</definedName>
    <definedName name="fffffrr" localSheetId="1">#REF!</definedName>
    <definedName name="fffffrr">#REF!</definedName>
    <definedName name="ffffg" localSheetId="1">#REF!</definedName>
    <definedName name="ffffg">#REF!</definedName>
    <definedName name="fgggg" localSheetId="1">#REF!</definedName>
    <definedName name="fgggg">#REF!</definedName>
    <definedName name="GFFF" localSheetId="1">#REF!</definedName>
    <definedName name="GFFF">#REF!</definedName>
    <definedName name="GGGGGG" localSheetId="1">#REF!</definedName>
    <definedName name="GGGGGG">#REF!</definedName>
    <definedName name="GGGGGGG" localSheetId="1">#REF!</definedName>
    <definedName name="GGGGGGG">#REF!</definedName>
    <definedName name="HGG" localSheetId="1">#REF!</definedName>
    <definedName name="HGG">#REF!</definedName>
    <definedName name="khhgg" localSheetId="1">#REF!</definedName>
    <definedName name="khhgg">#REF!</definedName>
    <definedName name="llll" localSheetId="1">#REF!</definedName>
    <definedName name="llll">#REF!</definedName>
    <definedName name="MMMMM" localSheetId="1">#REF!</definedName>
    <definedName name="MMMMM">#REF!</definedName>
    <definedName name="naaaa" localSheetId="1">#REF!</definedName>
    <definedName name="naaaa">#REF!</definedName>
    <definedName name="PPP" localSheetId="1">#REF!</definedName>
    <definedName name="PPP">#REF!</definedName>
    <definedName name="PPPP" localSheetId="1">#REF!</definedName>
    <definedName name="PPPP">#REF!</definedName>
    <definedName name="PPPPP" localSheetId="1">#REF!</definedName>
    <definedName name="PPPPP">#REF!</definedName>
    <definedName name="_xlnm.Print_Area" localSheetId="1">APEX!$A$1:$O$33</definedName>
    <definedName name="_xlnm.Print_Titles" localSheetId="1">APEX!$1:$1</definedName>
    <definedName name="QQQQ" localSheetId="1">#REF!</definedName>
    <definedName name="QQQQ">#REF!</definedName>
    <definedName name="QQQQQQQ" localSheetId="1">#REF!</definedName>
    <definedName name="QQQQQQQ">#REF!</definedName>
    <definedName name="qweee" localSheetId="1">#REF!</definedName>
    <definedName name="qweee">#REF!</definedName>
    <definedName name="rrreee" localSheetId="1">#REF!</definedName>
    <definedName name="rrreee">#REF!</definedName>
    <definedName name="rrrrr" localSheetId="1">#REF!</definedName>
    <definedName name="rrrrr">#REF!</definedName>
    <definedName name="rrrrrrf" localSheetId="1">#REF!</definedName>
    <definedName name="rrrrrrf">#REF!</definedName>
    <definedName name="rrrrttttt" localSheetId="1">#REF!</definedName>
    <definedName name="rrrrttttt">#REF!</definedName>
    <definedName name="rrrttt" localSheetId="1">#REF!</definedName>
    <definedName name="rrrttt">#REF!</definedName>
    <definedName name="swer" localSheetId="1">#REF!</definedName>
    <definedName name="swer">#REF!</definedName>
    <definedName name="ttttt" localSheetId="1">#REF!</definedName>
    <definedName name="ttttt">#REF!</definedName>
    <definedName name="tttttttt" localSheetId="1">#REF!</definedName>
    <definedName name="tttttttt">#REF!</definedName>
    <definedName name="VVVVVVV" localSheetId="1">#REF!</definedName>
    <definedName name="VVVVVVV">#REF!</definedName>
    <definedName name="yyyy" localSheetId="1">#REF!</definedName>
    <definedName name="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2" l="1"/>
  <c r="J19" i="2"/>
  <c r="O30" i="2"/>
  <c r="O29" i="2"/>
  <c r="O28" i="2"/>
  <c r="O27" i="2"/>
  <c r="O31" i="2" l="1"/>
  <c r="J20" i="2" l="1"/>
</calcChain>
</file>

<file path=xl/sharedStrings.xml><?xml version="1.0" encoding="utf-8"?>
<sst xmlns="http://schemas.openxmlformats.org/spreadsheetml/2006/main" count="162" uniqueCount="93">
  <si>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</si>
  <si>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</si>
  <si>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</si>
  <si>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</si>
  <si>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</si>
  <si>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</si>
  <si>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</si>
  <si>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</si>
  <si>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</si>
  <si>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</si>
  <si>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</si>
  <si>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</si>
  <si>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</si>
  <si>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</si>
  <si>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</si>
  <si>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</si>
  <si>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>WEEK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</si>
  <si>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</si>
  <si>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</si>
  <si>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</si>
  <si>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</si>
  <si>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</si>
  <si>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</si>
  <si>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</si>
  <si>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</si>
  <si>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Remark 1</t>
  </si>
  <si>
    <t>Receipt Date</t>
  </si>
  <si>
    <t>12/07-12/13</t>
  </si>
  <si>
    <t>Germany</t>
  </si>
  <si>
    <t>P2</t>
  </si>
  <si>
    <t>P3</t>
  </si>
  <si>
    <t>Utd.Arab Emir.</t>
  </si>
  <si>
    <t>CUT WEEK</t>
  </si>
  <si>
    <t>Israel</t>
  </si>
  <si>
    <t>Italy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</si>
  <si>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</si>
  <si>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</si>
  <si>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S1</t>
  </si>
  <si>
    <t>S2</t>
  </si>
  <si>
    <t>S3</t>
  </si>
  <si>
    <t>S5</t>
  </si>
  <si>
    <t>TOTAL</t>
  </si>
  <si>
    <t>GRAND TOTAL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</si>
  <si>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</si>
  <si>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</si>
  <si>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r>
      <rPr>
        <b/>
        <sz val="10"/>
        <color theme="1"/>
        <rFont val="新細明體"/>
        <family val="2"/>
      </rPr>
      <t xml:space="preserve">制定
</t>
    </r>
    <r>
      <rPr>
        <b/>
        <sz val="10"/>
        <color theme="1"/>
        <rFont val="Arial"/>
        <family val="2"/>
      </rPr>
      <t>Made by : RAJA-Y</t>
    </r>
  </si>
  <si>
    <t>APC/QMS-PLN/R03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</si>
  <si>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AXC01/C02/C03/C05/C06-S01/S02/S03/S05/S06</t>
    </r>
  </si>
  <si>
    <t>41514</t>
  </si>
  <si>
    <t>CLOUDFOAM FLEX - LACES W(1)</t>
  </si>
  <si>
    <t>71722</t>
  </si>
  <si>
    <t>0901773972&amp;1</t>
  </si>
  <si>
    <t>1000285208</t>
  </si>
  <si>
    <t>HQ4956</t>
  </si>
  <si>
    <t>CLOUDFOAM FLEX - LACES W(3)</t>
  </si>
  <si>
    <t>0901217678&amp;1</t>
  </si>
  <si>
    <t>1000253564</t>
  </si>
  <si>
    <t>HQ4967</t>
  </si>
  <si>
    <t>India</t>
  </si>
  <si>
    <t>0901601745&amp;1</t>
  </si>
  <si>
    <t>1000272207</t>
  </si>
  <si>
    <t>HQ4958</t>
  </si>
  <si>
    <t>Taiwan</t>
  </si>
  <si>
    <t>0901675090&amp;1</t>
  </si>
  <si>
    <t>1000277497</t>
  </si>
  <si>
    <t>HQ4961</t>
  </si>
  <si>
    <t>21078</t>
  </si>
  <si>
    <t>CLOUDFOAM FLEX - LACES M(3)</t>
  </si>
  <si>
    <t>70841</t>
  </si>
  <si>
    <t>0901775850&amp;1</t>
  </si>
  <si>
    <t>1000285212</t>
  </si>
  <si>
    <t>HQ4847</t>
  </si>
  <si>
    <t>0901402279&amp;1</t>
  </si>
  <si>
    <t>1000261066</t>
  </si>
  <si>
    <t>JS4917</t>
  </si>
  <si>
    <t>CLOUDFOAM FLEX - LACES M(1)</t>
  </si>
  <si>
    <t>0901731798&amp;1</t>
  </si>
  <si>
    <t>1000282584</t>
  </si>
  <si>
    <t>HQ4854</t>
  </si>
  <si>
    <t>South Korea</t>
  </si>
  <si>
    <t>0901779223&amp;1</t>
  </si>
  <si>
    <t>1000285239</t>
  </si>
  <si>
    <t>0901675011&amp;1</t>
  </si>
  <si>
    <t>1000277494</t>
  </si>
  <si>
    <t>0901675742&amp;1</t>
  </si>
  <si>
    <t>1000277501</t>
  </si>
  <si>
    <t>HQ4853</t>
  </si>
  <si>
    <t>0901775136&amp;1</t>
  </si>
  <si>
    <t>1000285211</t>
  </si>
  <si>
    <t>0901217711&amp;1</t>
  </si>
  <si>
    <t>1000253597</t>
  </si>
  <si>
    <t>HQ4960</t>
  </si>
  <si>
    <t>12/14-12/20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</si>
</sst>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/yyyy;@"/>
    <numFmt numFmtId="165" formatCode="[$-409]d\-mmm;@"/>
    <numFmt numFmtId="166" formatCode="0;[Red]0"/>
    <numFmt numFmtId="167" formatCode="m/d"/>
    <numFmt numFmtId="168" formatCode="&quot;Month: &quot;\ yyyy\-mm"/>
  </numFmts>
  <fonts count="13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2"/>
      <name val="Arial"/>
      <family val="2"/>
    </font>
    <font>
      <b/>
      <sz val="12"/>
      <name val="新細明體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細明體"/>
      <family val="3"/>
      <charset val="136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新細明體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top"/>
    </xf>
    <xf numFmtId="0" fontId="7" fillId="0" borderId="0"/>
    <xf numFmtId="0" fontId="1" fillId="0" borderId="0">
      <alignment vertical="center"/>
    </xf>
    <xf numFmtId="0" fontId="1" fillId="0" borderId="0"/>
    <xf numFmtId="0" fontId="1" fillId="0" borderId="0">
      <alignment vertical="top"/>
    </xf>
  </cellStyleXfs>
  <cellXfs count="58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 shrinkToFit="1"/>
    </xf>
    <xf numFmtId="164" fontId="5" fillId="2" borderId="7" xfId="2" applyNumberFormat="1" applyFont="1" applyFill="1" applyBorder="1" applyAlignment="1">
      <alignment horizontal="center" vertical="center" shrinkToFit="1"/>
    </xf>
    <xf numFmtId="0" fontId="5" fillId="3" borderId="7" xfId="2" applyNumberFormat="1" applyFont="1" applyFill="1" applyBorder="1" applyAlignment="1">
      <alignment horizontal="center" vertical="center" shrinkToFit="1"/>
    </xf>
    <xf numFmtId="0" fontId="9" fillId="2" borderId="7" xfId="2" applyFont="1" applyFill="1" applyBorder="1" applyAlignment="1">
      <alignment horizontal="center" vertical="center" shrinkToFit="1"/>
    </xf>
    <xf numFmtId="0" fontId="10" fillId="4" borderId="9" xfId="3" applyNumberFormat="1" applyFont="1" applyFill="1" applyBorder="1" applyAlignment="1">
      <alignment horizontal="center" vertical="center" shrinkToFit="1"/>
    </xf>
    <xf numFmtId="14" fontId="10" fillId="4" borderId="7" xfId="3" applyNumberFormat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vertical="center" shrinkToFit="1"/>
    </xf>
    <xf numFmtId="0" fontId="10" fillId="0" borderId="7" xfId="0" quotePrefix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shrinkToFit="1"/>
    </xf>
    <xf numFmtId="14" fontId="10" fillId="4" borderId="7" xfId="3" applyNumberFormat="1" applyFont="1" applyFill="1" applyBorder="1" applyAlignment="1">
      <alignment horizontal="center" vertical="center"/>
    </xf>
    <xf numFmtId="165" fontId="10" fillId="4" borderId="7" xfId="3" applyNumberFormat="1" applyFont="1" applyFill="1" applyBorder="1" applyAlignment="1">
      <alignment horizontal="center" vertical="center" shrinkToFit="1"/>
    </xf>
    <xf numFmtId="14" fontId="10" fillId="0" borderId="7" xfId="3" applyNumberFormat="1" applyFont="1" applyFill="1" applyBorder="1" applyAlignment="1">
      <alignment horizontal="center" vertical="center" shrinkToFit="1"/>
    </xf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164" fontId="10" fillId="0" borderId="10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/>
    </xf>
    <xf numFmtId="166" fontId="5" fillId="0" borderId="11" xfId="0" applyNumberFormat="1" applyFont="1" applyBorder="1" applyAlignment="1">
      <alignment horizontal="right" vertical="center"/>
    </xf>
    <xf numFmtId="0" fontId="5" fillId="3" borderId="7" xfId="4" applyFont="1" applyFill="1" applyBorder="1" applyAlignment="1">
      <alignment horizontal="center" vertical="center" shrinkToFit="1"/>
    </xf>
    <xf numFmtId="167" fontId="5" fillId="3" borderId="7" xfId="4" quotePrefix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5" fillId="0" borderId="7" xfId="4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1" fillId="0" borderId="7" xfId="5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4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0" borderId="2" xfId="5" applyNumberFormat="1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0" borderId="3" xfId="5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68" fontId="11" fillId="0" borderId="5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</cellXfs>
  <cellStyles count="6">
    <cellStyle name="Normal" xfId="0" builtinId="0"/>
    <cellStyle name="Normal 2 2" xfId="5"/>
    <cellStyle name="常规 2 3" xfId="1"/>
    <cellStyle name="常规 7 2" xfId="4"/>
    <cellStyle name="常规_APE  2013-05 正式ETC" xfId="2"/>
    <cellStyle name="常规_wrong client no issue" xfId="3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%20DATA\SCHEDULE\Sun%20Team\2025\Dec\GOOD%20LEATH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4" sqref="G14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33"/>
  <sheetViews>
    <sheetView tabSelected="1" view="pageBreakPreview" zoomScaleNormal="100" zoomScaleSheetLayoutView="100" workbookViewId="0">
      <selection activeCell="I7" sqref="I7"/>
    </sheetView>
  </sheetViews>
  <sheetFormatPr defaultRowHeight="12.75"/>
  <cols>
    <col min="1" max="1" width="10.7109375" style="24" bestFit="1" customWidth="1"/>
    <col min="2" max="2" width="9.28515625" style="24" customWidth="1"/>
    <col min="3" max="4" width="10.140625" style="24" bestFit="1" customWidth="1"/>
    <col min="5" max="5" width="20.85546875" style="24" customWidth="1"/>
    <col min="6" max="6" width="8.42578125" style="24" bestFit="1" customWidth="1"/>
    <col min="7" max="7" width="13.42578125" style="24" bestFit="1" customWidth="1"/>
    <col min="8" max="8" width="11" style="24" bestFit="1" customWidth="1"/>
    <col min="9" max="9" width="8" style="24" bestFit="1" customWidth="1"/>
    <col min="10" max="10" width="12.7109375" style="24" bestFit="1" customWidth="1"/>
    <col min="11" max="11" width="11" style="24" bestFit="1" customWidth="1"/>
    <col min="12" max="12" width="13.42578125" style="24" bestFit="1" customWidth="1"/>
    <col min="13" max="13" width="12.28515625" style="24" bestFit="1" customWidth="1"/>
    <col min="14" max="14" width="14.42578125" style="24" bestFit="1" customWidth="1"/>
    <col min="15" max="15" width="12.5703125" style="24" bestFit="1" customWidth="1"/>
    <col min="16" max="19" width="9.140625" style="25"/>
    <col min="20" max="20" width="11" style="25" bestFit="1" customWidth="1"/>
    <col min="21" max="16384" width="9.140625" style="25"/>
  </cols>
  <sheetData>
    <row r="1" spans="1:20" s="4" customFormat="1" ht="22.5" customHeight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20" s="4" customFormat="1" ht="22.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20" s="4" customFormat="1">
      <c r="A3" s="8" t="s">
        <v>1</v>
      </c>
      <c r="B3" s="9" t="s">
        <v>2</v>
      </c>
      <c r="C3" s="10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1" t="s">
        <v>10</v>
      </c>
      <c r="K3" s="11" t="s">
        <v>11</v>
      </c>
      <c r="L3" s="9" t="s">
        <v>12</v>
      </c>
      <c r="M3" s="12" t="s">
        <v>13</v>
      </c>
      <c r="N3" s="9" t="s">
        <v>14</v>
      </c>
      <c r="O3" s="9" t="s">
        <v>15</v>
      </c>
    </row>
    <row r="4" spans="1:20" s="4" customFormat="1">
      <c r="A4" s="8" t="s">
        <v>16</v>
      </c>
      <c r="B4" s="9" t="s">
        <v>2</v>
      </c>
      <c r="C4" s="10" t="s">
        <v>17</v>
      </c>
      <c r="D4" s="10" t="s">
        <v>4</v>
      </c>
      <c r="E4" s="9" t="s">
        <v>18</v>
      </c>
      <c r="F4" s="9" t="s">
        <v>19</v>
      </c>
      <c r="G4" s="9" t="s">
        <v>20</v>
      </c>
      <c r="H4" s="9" t="s">
        <v>8</v>
      </c>
      <c r="I4" s="9" t="s">
        <v>21</v>
      </c>
      <c r="J4" s="11" t="s">
        <v>22</v>
      </c>
      <c r="K4" s="11" t="s">
        <v>11</v>
      </c>
      <c r="L4" s="9" t="s">
        <v>23</v>
      </c>
      <c r="M4" s="9" t="s">
        <v>24</v>
      </c>
      <c r="N4" s="11" t="s">
        <v>25</v>
      </c>
      <c r="O4" s="9" t="s">
        <v>26</v>
      </c>
    </row>
    <row r="5" spans="1:20" ht="15" customHeight="1">
      <c r="A5" s="32" t="s">
        <v>27</v>
      </c>
      <c r="B5" s="13" t="s">
        <v>48</v>
      </c>
      <c r="C5" s="14">
        <v>46022</v>
      </c>
      <c r="D5" s="14">
        <v>46029</v>
      </c>
      <c r="E5" s="15" t="s">
        <v>49</v>
      </c>
      <c r="F5" s="16" t="s">
        <v>50</v>
      </c>
      <c r="G5" s="17" t="s">
        <v>51</v>
      </c>
      <c r="H5" s="17" t="s">
        <v>52</v>
      </c>
      <c r="I5" s="17" t="s">
        <v>53</v>
      </c>
      <c r="J5" s="17">
        <v>224</v>
      </c>
      <c r="K5" s="17" t="s">
        <v>29</v>
      </c>
      <c r="L5" s="18" t="s">
        <v>33</v>
      </c>
      <c r="M5" s="19"/>
      <c r="N5" s="20"/>
      <c r="O5" s="21"/>
      <c r="P5" s="22"/>
      <c r="Q5" s="23"/>
      <c r="R5" s="24"/>
      <c r="S5" s="22"/>
      <c r="T5" s="24"/>
    </row>
    <row r="6" spans="1:20">
      <c r="A6" s="32"/>
      <c r="B6" s="13" t="s">
        <v>48</v>
      </c>
      <c r="C6" s="14">
        <v>45961</v>
      </c>
      <c r="D6" s="14">
        <v>46037</v>
      </c>
      <c r="E6" s="15" t="s">
        <v>54</v>
      </c>
      <c r="F6" s="16" t="s">
        <v>50</v>
      </c>
      <c r="G6" s="17" t="s">
        <v>55</v>
      </c>
      <c r="H6" s="17" t="s">
        <v>56</v>
      </c>
      <c r="I6" s="17" t="s">
        <v>57</v>
      </c>
      <c r="J6" s="17">
        <v>1023</v>
      </c>
      <c r="K6" s="17" t="s">
        <v>29</v>
      </c>
      <c r="L6" s="18" t="s">
        <v>58</v>
      </c>
      <c r="M6" s="19"/>
      <c r="N6" s="20"/>
      <c r="O6" s="21"/>
      <c r="P6" s="22"/>
      <c r="Q6" s="23"/>
      <c r="R6" s="24"/>
      <c r="S6" s="22"/>
      <c r="T6" s="24"/>
    </row>
    <row r="7" spans="1:20">
      <c r="A7" s="32"/>
      <c r="B7" s="13" t="s">
        <v>48</v>
      </c>
      <c r="C7" s="14">
        <v>46037</v>
      </c>
      <c r="D7" s="14">
        <v>46037</v>
      </c>
      <c r="E7" s="15" t="s">
        <v>49</v>
      </c>
      <c r="F7" s="16" t="s">
        <v>50</v>
      </c>
      <c r="G7" s="17" t="s">
        <v>59</v>
      </c>
      <c r="H7" s="17" t="s">
        <v>60</v>
      </c>
      <c r="I7" s="17" t="s">
        <v>61</v>
      </c>
      <c r="J7" s="17">
        <v>1000</v>
      </c>
      <c r="K7" s="17" t="s">
        <v>29</v>
      </c>
      <c r="L7" s="18" t="s">
        <v>62</v>
      </c>
      <c r="M7" s="19"/>
      <c r="N7" s="20"/>
      <c r="O7" s="21"/>
      <c r="P7" s="22"/>
      <c r="Q7" s="23"/>
      <c r="R7" s="24"/>
      <c r="S7" s="22"/>
      <c r="T7" s="24"/>
    </row>
    <row r="8" spans="1:20">
      <c r="A8" s="32"/>
      <c r="B8" s="13" t="s">
        <v>48</v>
      </c>
      <c r="C8" s="14">
        <v>46037</v>
      </c>
      <c r="D8" s="14">
        <v>46045</v>
      </c>
      <c r="E8" s="15" t="s">
        <v>49</v>
      </c>
      <c r="F8" s="16" t="s">
        <v>50</v>
      </c>
      <c r="G8" s="17" t="s">
        <v>63</v>
      </c>
      <c r="H8" s="17" t="s">
        <v>64</v>
      </c>
      <c r="I8" s="17" t="s">
        <v>65</v>
      </c>
      <c r="J8" s="17">
        <v>755</v>
      </c>
      <c r="K8" s="17" t="s">
        <v>29</v>
      </c>
      <c r="L8" s="18" t="s">
        <v>34</v>
      </c>
      <c r="M8" s="19"/>
      <c r="N8" s="20"/>
      <c r="O8" s="21"/>
      <c r="P8" s="22"/>
      <c r="Q8" s="23"/>
      <c r="R8" s="24"/>
      <c r="S8" s="22"/>
      <c r="T8" s="24"/>
    </row>
    <row r="9" spans="1:20">
      <c r="A9" s="32"/>
      <c r="B9" s="13" t="s">
        <v>48</v>
      </c>
      <c r="C9" s="14">
        <v>46053</v>
      </c>
      <c r="D9" s="14">
        <v>46060</v>
      </c>
      <c r="E9" s="15" t="s">
        <v>49</v>
      </c>
      <c r="F9" s="16" t="s">
        <v>50</v>
      </c>
      <c r="G9" s="17" t="s">
        <v>82</v>
      </c>
      <c r="H9" s="17" t="s">
        <v>83</v>
      </c>
      <c r="I9" s="17" t="s">
        <v>65</v>
      </c>
      <c r="J9" s="17">
        <v>680</v>
      </c>
      <c r="K9" s="17" t="s">
        <v>29</v>
      </c>
      <c r="L9" s="18" t="s">
        <v>34</v>
      </c>
      <c r="M9" s="19"/>
      <c r="N9" s="20"/>
      <c r="O9" s="21"/>
      <c r="P9" s="22"/>
      <c r="Q9" s="23"/>
      <c r="R9" s="24"/>
      <c r="S9" s="22"/>
      <c r="T9" s="24"/>
    </row>
    <row r="10" spans="1:20">
      <c r="A10" s="32"/>
      <c r="B10" s="13" t="s">
        <v>66</v>
      </c>
      <c r="C10" s="14">
        <v>46037</v>
      </c>
      <c r="D10" s="14">
        <v>46045</v>
      </c>
      <c r="E10" s="15" t="s">
        <v>67</v>
      </c>
      <c r="F10" s="16" t="s">
        <v>68</v>
      </c>
      <c r="G10" s="17" t="s">
        <v>69</v>
      </c>
      <c r="H10" s="17" t="s">
        <v>70</v>
      </c>
      <c r="I10" s="17" t="s">
        <v>71</v>
      </c>
      <c r="J10" s="17">
        <v>1053</v>
      </c>
      <c r="K10" s="17" t="s">
        <v>29</v>
      </c>
      <c r="L10" s="18" t="s">
        <v>28</v>
      </c>
      <c r="M10" s="19"/>
      <c r="N10" s="20"/>
      <c r="O10" s="21"/>
      <c r="P10" s="22"/>
      <c r="Q10" s="23"/>
      <c r="R10" s="24"/>
      <c r="S10" s="22"/>
      <c r="T10" s="24"/>
    </row>
    <row r="11" spans="1:20">
      <c r="A11" s="32"/>
      <c r="B11" s="13" t="s">
        <v>66</v>
      </c>
      <c r="C11" s="14">
        <v>46053</v>
      </c>
      <c r="D11" s="14">
        <v>46060</v>
      </c>
      <c r="E11" s="15" t="s">
        <v>67</v>
      </c>
      <c r="F11" s="16" t="s">
        <v>68</v>
      </c>
      <c r="G11" s="17" t="s">
        <v>87</v>
      </c>
      <c r="H11" s="17" t="s">
        <v>88</v>
      </c>
      <c r="I11" s="17" t="s">
        <v>71</v>
      </c>
      <c r="J11" s="17">
        <v>536</v>
      </c>
      <c r="K11" s="17" t="s">
        <v>30</v>
      </c>
      <c r="L11" s="18" t="s">
        <v>28</v>
      </c>
      <c r="M11" s="19"/>
      <c r="N11" s="20"/>
      <c r="O11" s="21"/>
      <c r="P11" s="22"/>
      <c r="Q11" s="23"/>
      <c r="R11" s="24"/>
      <c r="S11" s="22"/>
      <c r="T11" s="24"/>
    </row>
    <row r="12" spans="1:20">
      <c r="A12" s="32"/>
      <c r="B12" s="13" t="s">
        <v>66</v>
      </c>
      <c r="C12" s="14">
        <v>46053</v>
      </c>
      <c r="D12" s="14">
        <v>46053</v>
      </c>
      <c r="E12" s="15" t="s">
        <v>67</v>
      </c>
      <c r="F12" s="16" t="s">
        <v>68</v>
      </c>
      <c r="G12" s="17" t="s">
        <v>72</v>
      </c>
      <c r="H12" s="17" t="s">
        <v>73</v>
      </c>
      <c r="I12" s="17" t="s">
        <v>74</v>
      </c>
      <c r="J12" s="17">
        <v>153</v>
      </c>
      <c r="K12" s="17" t="s">
        <v>29</v>
      </c>
      <c r="L12" s="18" t="s">
        <v>31</v>
      </c>
      <c r="M12" s="19"/>
      <c r="N12" s="20"/>
      <c r="O12" s="21"/>
      <c r="P12" s="22"/>
      <c r="Q12" s="23"/>
      <c r="R12" s="24"/>
      <c r="S12" s="22"/>
      <c r="T12" s="24"/>
    </row>
    <row r="13" spans="1:20">
      <c r="A13" s="32"/>
      <c r="B13" s="13" t="s">
        <v>66</v>
      </c>
      <c r="C13" s="14">
        <v>46022</v>
      </c>
      <c r="D13" s="14">
        <v>46053</v>
      </c>
      <c r="E13" s="15" t="s">
        <v>75</v>
      </c>
      <c r="F13" s="16" t="s">
        <v>68</v>
      </c>
      <c r="G13" s="17" t="s">
        <v>76</v>
      </c>
      <c r="H13" s="17" t="s">
        <v>77</v>
      </c>
      <c r="I13" s="17" t="s">
        <v>78</v>
      </c>
      <c r="J13" s="17">
        <v>7600</v>
      </c>
      <c r="K13" s="17" t="s">
        <v>29</v>
      </c>
      <c r="L13" s="18" t="s">
        <v>79</v>
      </c>
      <c r="M13" s="19"/>
      <c r="N13" s="20"/>
      <c r="O13" s="21"/>
      <c r="P13" s="22"/>
      <c r="Q13" s="23"/>
      <c r="R13" s="24"/>
      <c r="S13" s="22"/>
      <c r="T13" s="24"/>
    </row>
    <row r="14" spans="1:20" s="4" customFormat="1">
      <c r="A14" s="26"/>
      <c r="B14" s="27"/>
      <c r="C14" s="27"/>
      <c r="D14" s="27"/>
      <c r="E14" s="28"/>
      <c r="F14" s="28"/>
      <c r="G14" s="28"/>
      <c r="H14" s="28"/>
      <c r="I14" s="28"/>
      <c r="J14" s="29">
        <f>SUM(J5:J13)</f>
        <v>13024</v>
      </c>
      <c r="K14" s="29"/>
      <c r="L14" s="28"/>
      <c r="M14" s="30"/>
      <c r="N14" s="30"/>
      <c r="O14" s="31"/>
      <c r="P14" s="22"/>
      <c r="Q14" s="23"/>
      <c r="S14" s="22"/>
      <c r="T14" s="24"/>
    </row>
    <row r="15" spans="1:20" s="4" customFormat="1">
      <c r="A15" s="8" t="s">
        <v>32</v>
      </c>
      <c r="B15" s="9" t="s">
        <v>2</v>
      </c>
      <c r="C15" s="10" t="s">
        <v>17</v>
      </c>
      <c r="D15" s="10" t="s">
        <v>4</v>
      </c>
      <c r="E15" s="9" t="s">
        <v>18</v>
      </c>
      <c r="F15" s="9" t="s">
        <v>19</v>
      </c>
      <c r="G15" s="9" t="s">
        <v>20</v>
      </c>
      <c r="H15" s="9" t="s">
        <v>8</v>
      </c>
      <c r="I15" s="9" t="s">
        <v>21</v>
      </c>
      <c r="J15" s="11" t="s">
        <v>22</v>
      </c>
      <c r="K15" s="11" t="s">
        <v>11</v>
      </c>
      <c r="L15" s="9" t="s">
        <v>23</v>
      </c>
      <c r="M15" s="9" t="s">
        <v>24</v>
      </c>
      <c r="N15" s="11" t="s">
        <v>25</v>
      </c>
      <c r="O15" s="9" t="s">
        <v>26</v>
      </c>
      <c r="P15" s="22"/>
      <c r="Q15" s="23"/>
      <c r="S15" s="22"/>
      <c r="T15" s="24"/>
    </row>
    <row r="16" spans="1:20" ht="15" customHeight="1">
      <c r="A16" s="32" t="s">
        <v>92</v>
      </c>
      <c r="B16" s="13" t="s">
        <v>48</v>
      </c>
      <c r="C16" s="14">
        <v>46022</v>
      </c>
      <c r="D16" s="14">
        <v>46053</v>
      </c>
      <c r="E16" s="15" t="s">
        <v>49</v>
      </c>
      <c r="F16" s="16" t="s">
        <v>50</v>
      </c>
      <c r="G16" s="17" t="s">
        <v>80</v>
      </c>
      <c r="H16" s="17" t="s">
        <v>81</v>
      </c>
      <c r="I16" s="17" t="s">
        <v>53</v>
      </c>
      <c r="J16" s="17">
        <v>1018</v>
      </c>
      <c r="K16" s="17" t="s">
        <v>29</v>
      </c>
      <c r="L16" s="18" t="s">
        <v>58</v>
      </c>
      <c r="M16" s="19"/>
      <c r="N16" s="20"/>
      <c r="O16" s="21"/>
      <c r="P16" s="22"/>
      <c r="Q16" s="23"/>
      <c r="R16" s="24"/>
      <c r="S16" s="22"/>
      <c r="T16" s="24"/>
    </row>
    <row r="17" spans="1:20">
      <c r="A17" s="32"/>
      <c r="B17" s="13" t="s">
        <v>66</v>
      </c>
      <c r="C17" s="14">
        <v>46053</v>
      </c>
      <c r="D17" s="14">
        <v>46060</v>
      </c>
      <c r="E17" s="15" t="s">
        <v>75</v>
      </c>
      <c r="F17" s="16" t="s">
        <v>68</v>
      </c>
      <c r="G17" s="17" t="s">
        <v>84</v>
      </c>
      <c r="H17" s="17" t="s">
        <v>85</v>
      </c>
      <c r="I17" s="17" t="s">
        <v>86</v>
      </c>
      <c r="J17" s="17">
        <v>378</v>
      </c>
      <c r="K17" s="17" t="s">
        <v>29</v>
      </c>
      <c r="L17" s="18" t="s">
        <v>28</v>
      </c>
      <c r="M17" s="19"/>
      <c r="N17" s="20"/>
      <c r="O17" s="21"/>
      <c r="P17" s="22"/>
      <c r="Q17" s="23"/>
      <c r="R17" s="24"/>
      <c r="S17" s="22"/>
      <c r="T17" s="24"/>
    </row>
    <row r="18" spans="1:20">
      <c r="A18" s="32"/>
      <c r="B18" s="13" t="s">
        <v>48</v>
      </c>
      <c r="C18" s="14">
        <v>45991</v>
      </c>
      <c r="D18" s="14">
        <v>46069</v>
      </c>
      <c r="E18" s="15" t="s">
        <v>49</v>
      </c>
      <c r="F18" s="16" t="s">
        <v>50</v>
      </c>
      <c r="G18" s="17" t="s">
        <v>89</v>
      </c>
      <c r="H18" s="17" t="s">
        <v>90</v>
      </c>
      <c r="I18" s="17" t="s">
        <v>91</v>
      </c>
      <c r="J18" s="17">
        <v>584</v>
      </c>
      <c r="K18" s="17" t="s">
        <v>29</v>
      </c>
      <c r="L18" s="18" t="s">
        <v>58</v>
      </c>
      <c r="M18" s="19"/>
      <c r="N18" s="20"/>
      <c r="O18" s="21"/>
      <c r="P18" s="22"/>
      <c r="Q18" s="23"/>
      <c r="R18" s="24"/>
      <c r="S18" s="22"/>
      <c r="T18" s="24"/>
    </row>
    <row r="19" spans="1:20" s="4" customFormat="1">
      <c r="A19" s="26"/>
      <c r="B19" s="27"/>
      <c r="C19" s="27"/>
      <c r="D19" s="27"/>
      <c r="E19" s="28"/>
      <c r="F19" s="28"/>
      <c r="G19" s="28"/>
      <c r="H19" s="28"/>
      <c r="I19" s="28"/>
      <c r="J19" s="29">
        <f>SUM(J16:J18)</f>
        <v>1980</v>
      </c>
      <c r="K19" s="29"/>
      <c r="L19" s="28"/>
      <c r="M19" s="30"/>
      <c r="N19" s="20"/>
      <c r="O19" s="31"/>
      <c r="P19" s="22"/>
      <c r="Q19" s="23"/>
      <c r="S19" s="22"/>
      <c r="T19" s="24"/>
    </row>
    <row r="20" spans="1:20" s="4" customFormat="1">
      <c r="A20" s="26"/>
      <c r="B20" s="27"/>
      <c r="C20" s="27"/>
      <c r="D20" s="27"/>
      <c r="E20" s="28" t="s">
        <v>35</v>
      </c>
      <c r="F20" s="28"/>
      <c r="G20" s="28"/>
      <c r="H20" s="28"/>
      <c r="I20" s="28"/>
      <c r="J20" s="33" t="str">
        <f>"TOTAL:"&amp;SUM(J4:J19)/2</f>
        <v>TOTAL:15004</v>
      </c>
      <c r="K20" s="29"/>
      <c r="L20" s="28"/>
      <c r="M20" s="30"/>
      <c r="N20" s="30"/>
      <c r="O20" s="31"/>
      <c r="P20" s="22"/>
      <c r="Q20" s="23"/>
      <c r="S20" s="22"/>
      <c r="T20" s="24"/>
    </row>
    <row r="21" spans="1:20" s="36" customFormat="1">
      <c r="A21" s="34" t="s">
        <v>36</v>
      </c>
      <c r="B21" s="35">
        <v>45998</v>
      </c>
      <c r="C21" s="35">
        <v>45999</v>
      </c>
      <c r="D21" s="35">
        <v>46000</v>
      </c>
      <c r="E21" s="35">
        <v>46001</v>
      </c>
      <c r="F21" s="35">
        <v>46002</v>
      </c>
      <c r="G21" s="35">
        <v>46003</v>
      </c>
      <c r="H21" s="35">
        <v>46004</v>
      </c>
      <c r="I21" s="35">
        <v>46005</v>
      </c>
      <c r="J21" s="35">
        <v>46006</v>
      </c>
      <c r="K21" s="35">
        <v>46007</v>
      </c>
      <c r="L21" s="35">
        <v>46008</v>
      </c>
      <c r="M21" s="35">
        <v>46009</v>
      </c>
      <c r="N21" s="35">
        <v>46010</v>
      </c>
      <c r="O21" s="35">
        <v>46011</v>
      </c>
      <c r="P21" s="22"/>
      <c r="Q21" s="23"/>
      <c r="S21" s="22"/>
      <c r="T21" s="24"/>
    </row>
    <row r="22" spans="1:20" s="40" customFormat="1">
      <c r="A22" s="37" t="s">
        <v>37</v>
      </c>
      <c r="B22" s="38"/>
      <c r="C22" s="39">
        <v>540</v>
      </c>
      <c r="D22" s="39">
        <v>540</v>
      </c>
      <c r="E22" s="39">
        <v>540</v>
      </c>
      <c r="F22" s="39">
        <v>540</v>
      </c>
      <c r="G22" s="39">
        <v>540</v>
      </c>
      <c r="H22" s="39">
        <v>540</v>
      </c>
      <c r="I22" s="38"/>
      <c r="J22" s="39">
        <v>540</v>
      </c>
      <c r="K22" s="39">
        <v>540</v>
      </c>
      <c r="L22" s="39">
        <v>540</v>
      </c>
      <c r="M22" s="39">
        <v>540</v>
      </c>
      <c r="N22" s="39">
        <v>540</v>
      </c>
      <c r="O22" s="39">
        <v>540</v>
      </c>
      <c r="P22" s="22"/>
      <c r="Q22" s="23"/>
      <c r="S22" s="22"/>
      <c r="T22" s="24"/>
    </row>
    <row r="23" spans="1:20" s="40" customFormat="1">
      <c r="A23" s="37" t="s">
        <v>38</v>
      </c>
      <c r="B23" s="38"/>
      <c r="C23" s="39">
        <v>540</v>
      </c>
      <c r="D23" s="39">
        <v>540</v>
      </c>
      <c r="E23" s="39">
        <v>540</v>
      </c>
      <c r="F23" s="39">
        <v>540</v>
      </c>
      <c r="G23" s="39">
        <v>540</v>
      </c>
      <c r="H23" s="39">
        <v>540</v>
      </c>
      <c r="I23" s="38"/>
      <c r="J23" s="39">
        <v>540</v>
      </c>
      <c r="K23" s="39">
        <v>540</v>
      </c>
      <c r="L23" s="39">
        <v>540</v>
      </c>
      <c r="M23" s="39">
        <v>540</v>
      </c>
      <c r="N23" s="39">
        <v>540</v>
      </c>
      <c r="O23" s="39">
        <v>540</v>
      </c>
      <c r="P23" s="22"/>
      <c r="Q23" s="23"/>
      <c r="S23" s="22"/>
      <c r="T23" s="24"/>
    </row>
    <row r="24" spans="1:20" s="40" customFormat="1">
      <c r="A24" s="37" t="s">
        <v>39</v>
      </c>
      <c r="B24" s="38"/>
      <c r="C24" s="39">
        <v>540</v>
      </c>
      <c r="D24" s="39">
        <v>540</v>
      </c>
      <c r="E24" s="39">
        <v>540</v>
      </c>
      <c r="F24" s="39">
        <v>540</v>
      </c>
      <c r="G24" s="39">
        <v>540</v>
      </c>
      <c r="H24" s="39">
        <v>540</v>
      </c>
      <c r="I24" s="38"/>
      <c r="J24" s="39">
        <v>540</v>
      </c>
      <c r="K24" s="39">
        <v>540</v>
      </c>
      <c r="L24" s="39">
        <v>540</v>
      </c>
      <c r="M24" s="39">
        <v>540</v>
      </c>
      <c r="N24" s="39">
        <v>540</v>
      </c>
      <c r="O24" s="39">
        <v>540</v>
      </c>
      <c r="P24" s="22"/>
      <c r="Q24" s="23"/>
      <c r="S24" s="22"/>
      <c r="T24" s="24"/>
    </row>
    <row r="25" spans="1:20" s="40" customFormat="1">
      <c r="A25" s="37" t="s">
        <v>40</v>
      </c>
      <c r="B25" s="38"/>
      <c r="C25" s="39">
        <v>540</v>
      </c>
      <c r="D25" s="39">
        <v>540</v>
      </c>
      <c r="E25" s="39">
        <v>540</v>
      </c>
      <c r="F25" s="39">
        <v>540</v>
      </c>
      <c r="G25" s="39">
        <v>540</v>
      </c>
      <c r="H25" s="39">
        <v>540</v>
      </c>
      <c r="I25" s="38"/>
      <c r="J25" s="39">
        <v>540</v>
      </c>
      <c r="K25" s="39">
        <v>540</v>
      </c>
      <c r="L25" s="39">
        <v>540</v>
      </c>
      <c r="M25" s="39">
        <v>540</v>
      </c>
      <c r="N25" s="39">
        <v>540</v>
      </c>
      <c r="O25" s="39">
        <v>540</v>
      </c>
      <c r="P25" s="22"/>
      <c r="Q25" s="23"/>
      <c r="S25" s="22"/>
      <c r="T25" s="24"/>
    </row>
    <row r="26" spans="1:20" s="36" customFormat="1">
      <c r="A26" s="34" t="s">
        <v>36</v>
      </c>
      <c r="B26" s="35">
        <v>46012</v>
      </c>
      <c r="C26" s="35">
        <v>46013</v>
      </c>
      <c r="D26" s="35">
        <v>46014</v>
      </c>
      <c r="E26" s="35">
        <v>46015</v>
      </c>
      <c r="F26" s="35">
        <v>46016</v>
      </c>
      <c r="G26" s="35">
        <v>46017</v>
      </c>
      <c r="H26" s="35">
        <v>46018</v>
      </c>
      <c r="I26" s="35">
        <v>46019</v>
      </c>
      <c r="J26" s="35">
        <v>46020</v>
      </c>
      <c r="K26" s="35">
        <v>46021</v>
      </c>
      <c r="L26" s="35">
        <v>46022</v>
      </c>
      <c r="M26" s="35">
        <v>46023</v>
      </c>
      <c r="N26" s="35">
        <v>46024</v>
      </c>
      <c r="O26" s="35" t="s">
        <v>41</v>
      </c>
      <c r="P26" s="22"/>
      <c r="Q26" s="23"/>
      <c r="S26" s="22"/>
      <c r="T26" s="24"/>
    </row>
    <row r="27" spans="1:20" s="40" customFormat="1">
      <c r="A27" s="37" t="s">
        <v>37</v>
      </c>
      <c r="B27" s="38"/>
      <c r="C27" s="39"/>
      <c r="D27" s="39"/>
      <c r="E27" s="39"/>
      <c r="F27" s="39"/>
      <c r="G27" s="39"/>
      <c r="H27" s="39"/>
      <c r="I27" s="38"/>
      <c r="J27" s="39"/>
      <c r="K27" s="39"/>
      <c r="L27" s="39"/>
      <c r="M27" s="39"/>
      <c r="N27" s="39"/>
      <c r="O27" s="39">
        <f>SUM(B22:O22,B27:N27)</f>
        <v>6480</v>
      </c>
      <c r="P27" s="22"/>
      <c r="Q27" s="23"/>
      <c r="S27" s="22"/>
      <c r="T27" s="24"/>
    </row>
    <row r="28" spans="1:20" s="40" customFormat="1">
      <c r="A28" s="37" t="s">
        <v>38</v>
      </c>
      <c r="B28" s="38"/>
      <c r="C28" s="39"/>
      <c r="D28" s="39"/>
      <c r="E28" s="39"/>
      <c r="F28" s="39"/>
      <c r="G28" s="39"/>
      <c r="H28" s="39"/>
      <c r="I28" s="38"/>
      <c r="J28" s="39"/>
      <c r="K28" s="39"/>
      <c r="L28" s="39"/>
      <c r="M28" s="39"/>
      <c r="N28" s="39"/>
      <c r="O28" s="39">
        <f>SUM(B23:O23,B28:N28)</f>
        <v>6480</v>
      </c>
      <c r="P28" s="22"/>
      <c r="Q28" s="23"/>
      <c r="S28" s="22"/>
      <c r="T28" s="24"/>
    </row>
    <row r="29" spans="1:20" s="40" customFormat="1">
      <c r="A29" s="37" t="s">
        <v>39</v>
      </c>
      <c r="B29" s="38"/>
      <c r="C29" s="39"/>
      <c r="D29" s="39"/>
      <c r="E29" s="39"/>
      <c r="F29" s="39"/>
      <c r="G29" s="39"/>
      <c r="H29" s="39"/>
      <c r="I29" s="38"/>
      <c r="J29" s="39"/>
      <c r="K29" s="39"/>
      <c r="L29" s="39"/>
      <c r="M29" s="39"/>
      <c r="N29" s="39"/>
      <c r="O29" s="39">
        <f>SUM(B24:O24,B29:N29)</f>
        <v>6480</v>
      </c>
      <c r="P29" s="22"/>
      <c r="Q29" s="23"/>
      <c r="S29" s="22"/>
      <c r="T29" s="24"/>
    </row>
    <row r="30" spans="1:20" s="40" customFormat="1">
      <c r="A30" s="37" t="s">
        <v>40</v>
      </c>
      <c r="B30" s="38"/>
      <c r="C30" s="39"/>
      <c r="D30" s="39"/>
      <c r="E30" s="39"/>
      <c r="F30" s="39"/>
      <c r="G30" s="39"/>
      <c r="H30" s="39"/>
      <c r="I30" s="38"/>
      <c r="J30" s="39"/>
      <c r="K30" s="39"/>
      <c r="L30" s="39"/>
      <c r="M30" s="39"/>
      <c r="N30" s="39"/>
      <c r="O30" s="39">
        <f>SUM(B25:O25,B30:N30)</f>
        <v>6480</v>
      </c>
      <c r="P30" s="22"/>
      <c r="Q30" s="23"/>
      <c r="S30" s="22"/>
      <c r="T30" s="24"/>
    </row>
    <row r="31" spans="1:20" s="40" customFormat="1">
      <c r="A31" s="41"/>
      <c r="B31" s="42"/>
      <c r="C31" s="43"/>
      <c r="D31" s="43"/>
      <c r="E31" s="43"/>
      <c r="F31" s="43"/>
      <c r="G31" s="43"/>
      <c r="H31" s="43"/>
      <c r="I31" s="42"/>
      <c r="J31" s="43"/>
      <c r="K31" s="43"/>
      <c r="L31" s="43"/>
      <c r="M31" s="43"/>
      <c r="N31" s="44" t="s">
        <v>42</v>
      </c>
      <c r="O31" s="45">
        <f>SUM(O27:O30)</f>
        <v>25920</v>
      </c>
      <c r="P31" s="22"/>
      <c r="Q31" s="23"/>
      <c r="S31" s="22"/>
      <c r="T31" s="24"/>
    </row>
    <row r="32" spans="1:20" s="40" customFormat="1">
      <c r="A32" s="46"/>
      <c r="B32" s="47" t="s">
        <v>43</v>
      </c>
      <c r="C32" s="47"/>
      <c r="D32" s="48"/>
      <c r="E32" s="47" t="s">
        <v>44</v>
      </c>
      <c r="F32" s="47"/>
      <c r="G32" s="49" t="s">
        <v>45</v>
      </c>
      <c r="H32" s="49"/>
      <c r="I32" s="49"/>
      <c r="J32" s="48"/>
      <c r="K32" s="48"/>
      <c r="L32" s="48"/>
      <c r="M32" s="50" t="s">
        <v>46</v>
      </c>
      <c r="N32" s="50"/>
      <c r="O32" s="51"/>
      <c r="P32" s="22"/>
      <c r="Q32" s="23"/>
      <c r="S32" s="22"/>
      <c r="T32" s="24"/>
    </row>
    <row r="33" spans="1:20" s="40" customFormat="1">
      <c r="A33" s="52"/>
      <c r="B33" s="53"/>
      <c r="C33" s="53"/>
      <c r="D33" s="54"/>
      <c r="E33" s="53"/>
      <c r="F33" s="53"/>
      <c r="G33" s="55"/>
      <c r="H33" s="55"/>
      <c r="I33" s="55"/>
      <c r="J33" s="54"/>
      <c r="K33" s="54"/>
      <c r="L33" s="54"/>
      <c r="M33" s="56"/>
      <c r="N33" s="56"/>
      <c r="O33" s="57"/>
      <c r="P33" s="22"/>
      <c r="Q33" s="23"/>
      <c r="S33" s="22"/>
      <c r="T33" s="24"/>
    </row>
  </sheetData>
  <mergeCells count="9">
    <mergeCell ref="A16:A18"/>
    <mergeCell ref="A5:A13"/>
    <mergeCell ref="A1:O1"/>
    <mergeCell ref="A2:O2"/>
    <mergeCell ref="B32:C33"/>
    <mergeCell ref="E32:F33"/>
    <mergeCell ref="G32:I33"/>
    <mergeCell ref="M32:N32"/>
    <mergeCell ref="M33:N33"/>
  </mergeCells>
  <conditionalFormatting sqref="G32:G33">
    <cfRule type="duplicateValues" dxfId="18" priority="18"/>
  </conditionalFormatting>
  <conditionalFormatting sqref="G20 G1 G3">
    <cfRule type="duplicateValues" dxfId="17" priority="19"/>
  </conditionalFormatting>
  <conditionalFormatting sqref="G31:I33 G20:I20 I22:I25 I27:I30">
    <cfRule type="duplicateValues" dxfId="16" priority="20"/>
  </conditionalFormatting>
  <conditionalFormatting sqref="G32:G1048576 G20 G1 G3">
    <cfRule type="duplicateValues" dxfId="15" priority="21"/>
  </conditionalFormatting>
  <conditionalFormatting sqref="G31:G1048576 G20 G1:G4">
    <cfRule type="duplicateValues" dxfId="14" priority="22"/>
  </conditionalFormatting>
  <conditionalFormatting sqref="H31:H1048576 H20 H1:H4">
    <cfRule type="duplicateValues" dxfId="13" priority="23"/>
  </conditionalFormatting>
  <conditionalFormatting sqref="G19">
    <cfRule type="duplicateValues" dxfId="12" priority="15"/>
  </conditionalFormatting>
  <conditionalFormatting sqref="H19">
    <cfRule type="duplicateValues" dxfId="11" priority="16"/>
  </conditionalFormatting>
  <conditionalFormatting sqref="G19:I19">
    <cfRule type="duplicateValues" dxfId="10" priority="17"/>
  </conditionalFormatting>
  <conditionalFormatting sqref="G14">
    <cfRule type="duplicateValues" dxfId="9" priority="9"/>
  </conditionalFormatting>
  <conditionalFormatting sqref="H14">
    <cfRule type="duplicateValues" dxfId="8" priority="10"/>
  </conditionalFormatting>
  <conditionalFormatting sqref="G14:I14">
    <cfRule type="duplicateValues" dxfId="7" priority="11"/>
  </conditionalFormatting>
  <conditionalFormatting sqref="G15">
    <cfRule type="duplicateValues" dxfId="6" priority="12"/>
  </conditionalFormatting>
  <conditionalFormatting sqref="H15">
    <cfRule type="duplicateValues" dxfId="5" priority="13"/>
  </conditionalFormatting>
  <conditionalFormatting sqref="G15:I15">
    <cfRule type="duplicateValues" dxfId="4" priority="14"/>
  </conditionalFormatting>
  <conditionalFormatting sqref="H14:H15">
    <cfRule type="duplicateValues" dxfId="3" priority="8"/>
  </conditionalFormatting>
  <conditionalFormatting sqref="H5:H13 H16:H18">
    <cfRule type="duplicateValues" dxfId="2" priority="86"/>
  </conditionalFormatting>
  <conditionalFormatting sqref="G5:G13 G16:G18">
    <cfRule type="duplicateValues" dxfId="1" priority="88"/>
  </conditionalFormatting>
  <conditionalFormatting sqref="G5:H13 G16:H18">
    <cfRule type="duplicateValues" dxfId="0" priority="90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APEX</vt:lpstr>
      <vt:lpstr>APEX!Print_Area</vt:lpstr>
      <vt:lpstr>APEX!Print_Titles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rajasekhar-y</dc:creator>
  <cp:lastModifiedBy>rajasekhar-y</cp:lastModifiedBy>
  <dcterms:created xsi:type="dcterms:W3CDTF">2025-11-10T12:47:14Z</dcterms:created>
  <dcterms:modified xsi:type="dcterms:W3CDTF">2025-11-10T12:50:54Z</dcterms:modified>
</cp:coreProperties>
</file>